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vba-main\"/>
    </mc:Choice>
  </mc:AlternateContent>
  <bookViews>
    <workbookView xWindow="0" yWindow="0" windowWidth="22260" windowHeight="12645" firstSheet="9" activeTab="11"/>
  </bookViews>
  <sheets>
    <sheet name="kuaixueba" sheetId="8" r:id="rId1"/>
    <sheet name=" 演示" sheetId="4" r:id="rId2"/>
    <sheet name="study excel" sheetId="1" r:id="rId3"/>
    <sheet name="Sheet2" sheetId="2" r:id="rId4"/>
    <sheet name="222" sheetId="3" r:id="rId5"/>
    <sheet name="张三" sheetId="9" r:id="rId6"/>
    <sheet name="李四" sheetId="10" r:id="rId7"/>
    <sheet name="赵六" sheetId="11" r:id="rId8"/>
    <sheet name="Sheet5" sheetId="12" r:id="rId9"/>
    <sheet name="Sheet1" sheetId="13" r:id="rId10"/>
    <sheet name="Sheet3" sheetId="14" r:id="rId11"/>
    <sheet name="Sheet4" sheetId="16" r:id="rId12"/>
    <sheet name="二维码" sheetId="15" r:id="rId13"/>
  </sheets>
  <functionGroups builtInGroupCount="18"/>
  <definedNames>
    <definedName name="_xlnm._FilterDatabase" localSheetId="1" hidden="1">' 演示'!$B$1:$D$25</definedName>
    <definedName name="_xlnm._FilterDatabase" localSheetId="8" hidden="1">Sheet5!$B$1:$D$25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16" l="1"/>
  <c r="K5" i="16"/>
  <c r="K7" i="16"/>
  <c r="K8" i="16"/>
  <c r="K10" i="16"/>
  <c r="K11" i="16"/>
  <c r="K13" i="16"/>
  <c r="K14" i="16"/>
  <c r="K16" i="16"/>
  <c r="K17" i="16"/>
  <c r="K19" i="16"/>
  <c r="K20" i="16"/>
  <c r="K22" i="16"/>
  <c r="K23" i="16"/>
  <c r="K25" i="16"/>
  <c r="K26" i="16"/>
  <c r="K28" i="16"/>
  <c r="K29" i="16"/>
  <c r="K31" i="16"/>
  <c r="K32" i="16"/>
  <c r="K34" i="16"/>
  <c r="K35" i="16"/>
  <c r="K37" i="16"/>
  <c r="K38" i="16"/>
  <c r="K40" i="16"/>
  <c r="K41" i="16"/>
  <c r="K43" i="16"/>
  <c r="K44" i="16"/>
  <c r="K46" i="16"/>
  <c r="K47" i="16"/>
  <c r="K49" i="16"/>
  <c r="K50" i="16"/>
  <c r="K52" i="16"/>
  <c r="K53" i="16"/>
  <c r="K55" i="16"/>
  <c r="K56" i="16"/>
  <c r="K59" i="16"/>
  <c r="K60" i="16"/>
  <c r="K62" i="16"/>
  <c r="K63" i="16"/>
  <c r="K65" i="16"/>
  <c r="K66" i="16"/>
  <c r="K68" i="16"/>
  <c r="K69" i="16"/>
  <c r="K71" i="16"/>
  <c r="K72" i="16"/>
  <c r="K74" i="16"/>
  <c r="K75" i="16"/>
  <c r="K77" i="16"/>
  <c r="K78" i="16"/>
  <c r="K80" i="16"/>
  <c r="K81" i="16"/>
  <c r="K83" i="16"/>
  <c r="K84" i="16"/>
  <c r="K86" i="16"/>
  <c r="K87" i="16"/>
  <c r="K89" i="16"/>
  <c r="K90" i="16"/>
  <c r="K92" i="16"/>
  <c r="K93" i="16"/>
  <c r="K95" i="16"/>
  <c r="K96" i="16"/>
  <c r="K98" i="16"/>
  <c r="K99" i="16"/>
  <c r="K101" i="16"/>
  <c r="K102" i="16"/>
  <c r="K104" i="16"/>
  <c r="K105" i="16"/>
  <c r="K107" i="16"/>
  <c r="K108" i="16"/>
  <c r="K110" i="16"/>
  <c r="K111" i="16"/>
  <c r="K113" i="16"/>
  <c r="K114" i="16"/>
  <c r="K116" i="16"/>
  <c r="K117" i="16"/>
  <c r="K119" i="16"/>
  <c r="K120" i="16"/>
  <c r="K122" i="16"/>
  <c r="K123" i="16"/>
  <c r="K125" i="16"/>
  <c r="K126" i="16"/>
  <c r="K128" i="16"/>
  <c r="K129" i="16"/>
  <c r="K131" i="16"/>
  <c r="K132" i="16"/>
  <c r="K134" i="16"/>
  <c r="K135" i="16"/>
  <c r="K137" i="16"/>
  <c r="K138" i="16"/>
  <c r="K140" i="16"/>
  <c r="K141" i="16"/>
  <c r="K143" i="16"/>
  <c r="K144" i="16"/>
  <c r="K146" i="16"/>
  <c r="K147" i="16"/>
  <c r="K149" i="16"/>
  <c r="K150" i="16"/>
  <c r="K153" i="16"/>
  <c r="K154" i="16"/>
  <c r="K157" i="16"/>
  <c r="K158" i="16"/>
  <c r="K160" i="16"/>
  <c r="K161" i="16"/>
  <c r="K163" i="16"/>
  <c r="K164" i="16"/>
  <c r="K166" i="16"/>
  <c r="K167" i="16"/>
  <c r="K169" i="16"/>
  <c r="K170" i="16"/>
  <c r="K172" i="16"/>
  <c r="K173" i="16"/>
  <c r="K175" i="16"/>
  <c r="K176" i="16"/>
  <c r="K178" i="16"/>
  <c r="K179" i="16"/>
  <c r="K181" i="16"/>
  <c r="K182" i="16"/>
  <c r="K184" i="16"/>
  <c r="K185" i="16"/>
  <c r="K187" i="16"/>
  <c r="K188" i="16"/>
  <c r="K190" i="16"/>
  <c r="K191" i="16"/>
  <c r="K193" i="16"/>
  <c r="K194" i="16"/>
  <c r="K196" i="16"/>
  <c r="K197" i="16"/>
  <c r="K199" i="16"/>
  <c r="K200" i="16"/>
  <c r="K202" i="16"/>
  <c r="K203" i="16"/>
  <c r="K205" i="16"/>
  <c r="K206" i="16"/>
  <c r="K209" i="16"/>
  <c r="K210" i="16"/>
  <c r="K212" i="16"/>
  <c r="K213" i="16"/>
  <c r="K215" i="16"/>
  <c r="K216" i="16"/>
  <c r="K218" i="16"/>
  <c r="K219" i="16"/>
  <c r="K221" i="16"/>
  <c r="K222" i="16"/>
  <c r="K224" i="16"/>
  <c r="K225" i="16"/>
  <c r="K227" i="16"/>
  <c r="K228" i="16"/>
  <c r="K230" i="16"/>
  <c r="K231" i="16"/>
  <c r="K233" i="16"/>
  <c r="K234" i="16"/>
  <c r="K236" i="16"/>
  <c r="K237" i="16"/>
  <c r="K239" i="16"/>
  <c r="K240" i="16"/>
  <c r="K242" i="16"/>
  <c r="K243" i="16"/>
  <c r="K245" i="16"/>
  <c r="K246" i="16"/>
  <c r="K248" i="16"/>
  <c r="K249" i="16"/>
  <c r="K251" i="16"/>
  <c r="K252" i="16"/>
  <c r="K254" i="16"/>
  <c r="K255" i="16"/>
  <c r="K258" i="16"/>
  <c r="K259" i="16"/>
  <c r="K263" i="16"/>
  <c r="K264" i="16"/>
  <c r="K266" i="16"/>
  <c r="K267" i="16"/>
  <c r="K274" i="16"/>
  <c r="K275" i="16"/>
  <c r="K280" i="16"/>
  <c r="K281" i="16"/>
  <c r="K283" i="16"/>
  <c r="K284" i="16"/>
  <c r="K288" i="16"/>
  <c r="K289" i="16"/>
  <c r="K292" i="16"/>
  <c r="K293" i="16"/>
  <c r="K300" i="16"/>
  <c r="K301" i="16"/>
  <c r="K303" i="16"/>
  <c r="K304" i="16"/>
  <c r="K307" i="16"/>
  <c r="K308" i="16"/>
  <c r="K310" i="16"/>
  <c r="K311" i="16"/>
  <c r="K315" i="16"/>
  <c r="K316" i="16"/>
  <c r="K318" i="16"/>
  <c r="K319" i="16"/>
  <c r="K323" i="16"/>
  <c r="K324" i="16"/>
  <c r="K327" i="16"/>
  <c r="K328" i="16"/>
  <c r="K330" i="16"/>
  <c r="K331" i="16"/>
  <c r="K334" i="16"/>
  <c r="K335" i="16"/>
  <c r="K337" i="16"/>
  <c r="K338" i="16"/>
  <c r="K347" i="16"/>
  <c r="K348" i="16"/>
  <c r="K350" i="16"/>
  <c r="K351" i="16"/>
  <c r="K353" i="16"/>
  <c r="K354" i="16"/>
  <c r="K356" i="16"/>
  <c r="K357" i="16"/>
  <c r="K365" i="16"/>
  <c r="K366" i="16"/>
  <c r="K368" i="16"/>
  <c r="K369" i="16"/>
  <c r="K373" i="16"/>
  <c r="K374" i="16"/>
  <c r="K376" i="16"/>
  <c r="K377" i="16"/>
  <c r="K381" i="16"/>
  <c r="K382" i="16"/>
  <c r="K384" i="16"/>
  <c r="K385" i="16"/>
  <c r="K388" i="16"/>
  <c r="K389" i="16"/>
  <c r="K391" i="16"/>
  <c r="K392" i="16"/>
  <c r="K394" i="16"/>
  <c r="K395" i="16"/>
  <c r="K397" i="16"/>
  <c r="K398" i="16"/>
  <c r="K400" i="16"/>
  <c r="K401" i="16"/>
  <c r="K403" i="16"/>
  <c r="K404" i="16"/>
  <c r="K406" i="16"/>
  <c r="K407" i="16"/>
  <c r="K409" i="16"/>
  <c r="K410" i="16"/>
  <c r="K412" i="16"/>
  <c r="K413" i="16"/>
  <c r="K415" i="16"/>
  <c r="K416" i="16"/>
  <c r="K418" i="16"/>
  <c r="K419" i="16"/>
  <c r="K421" i="16"/>
  <c r="K422" i="16"/>
  <c r="K424" i="16"/>
  <c r="K425" i="16"/>
  <c r="K428" i="16"/>
  <c r="K429" i="16"/>
  <c r="K431" i="16"/>
  <c r="K432" i="16"/>
  <c r="K434" i="16"/>
  <c r="K435" i="16"/>
  <c r="K437" i="16"/>
  <c r="K438" i="16"/>
  <c r="K440" i="16"/>
  <c r="K441" i="16"/>
  <c r="K443" i="16"/>
  <c r="K444" i="16"/>
  <c r="K446" i="16"/>
  <c r="K447" i="16"/>
  <c r="K449" i="16"/>
  <c r="K450" i="16"/>
  <c r="K452" i="16"/>
  <c r="K453" i="16"/>
  <c r="K455" i="16"/>
  <c r="K456" i="16"/>
  <c r="K458" i="16"/>
  <c r="K459" i="16"/>
  <c r="K461" i="16"/>
  <c r="K462" i="16"/>
  <c r="K464" i="16"/>
  <c r="K465" i="16"/>
  <c r="K467" i="16"/>
  <c r="K468" i="16"/>
  <c r="K470" i="16"/>
  <c r="K471" i="16"/>
  <c r="K473" i="16"/>
  <c r="K474" i="16"/>
  <c r="K476" i="16"/>
  <c r="K477" i="16"/>
  <c r="K479" i="16"/>
  <c r="K480" i="16"/>
  <c r="K482" i="16"/>
  <c r="K483" i="16"/>
  <c r="K485" i="16"/>
  <c r="K486" i="16"/>
  <c r="K488" i="16"/>
  <c r="K489" i="16"/>
  <c r="K491" i="16"/>
  <c r="K492" i="16"/>
  <c r="K494" i="16"/>
  <c r="K495" i="16"/>
  <c r="K497" i="16"/>
  <c r="K498" i="16"/>
  <c r="K500" i="16"/>
  <c r="K501" i="16"/>
  <c r="K503" i="16"/>
  <c r="K504" i="16"/>
  <c r="K506" i="16"/>
  <c r="K507" i="16"/>
  <c r="K509" i="16"/>
  <c r="K510" i="16"/>
  <c r="K512" i="16"/>
  <c r="K513" i="16"/>
  <c r="K515" i="16"/>
  <c r="K516" i="16"/>
  <c r="K518" i="16"/>
  <c r="K519" i="16"/>
  <c r="K521" i="16"/>
  <c r="K522" i="16"/>
  <c r="K524" i="16"/>
  <c r="K525" i="16"/>
  <c r="K527" i="16"/>
  <c r="K528" i="16"/>
  <c r="K530" i="16"/>
  <c r="K531" i="16"/>
  <c r="K533" i="16"/>
  <c r="K534" i="16"/>
  <c r="K537" i="16"/>
  <c r="K538" i="16"/>
  <c r="K543" i="16"/>
  <c r="K544" i="16"/>
  <c r="K547" i="16"/>
  <c r="K548" i="16"/>
  <c r="K551" i="16"/>
  <c r="K552" i="16"/>
  <c r="K558" i="16"/>
  <c r="K559" i="16"/>
  <c r="K563" i="16"/>
  <c r="K564" i="16"/>
  <c r="K567" i="16"/>
  <c r="K568" i="16"/>
  <c r="K570" i="16"/>
  <c r="K571" i="16"/>
  <c r="K576" i="16"/>
  <c r="K577" i="16"/>
  <c r="K579" i="16"/>
  <c r="K580" i="16"/>
  <c r="K582" i="16"/>
  <c r="K583" i="16"/>
  <c r="K585" i="16"/>
  <c r="K586" i="16"/>
  <c r="K588" i="16"/>
  <c r="K589" i="16"/>
  <c r="C336" i="16"/>
  <c r="C136" i="16"/>
  <c r="C268" i="16"/>
  <c r="C294" i="16"/>
  <c r="C276" i="16"/>
  <c r="C386" i="16"/>
  <c r="C320" i="16"/>
  <c r="C220" i="16"/>
  <c r="C91" i="16"/>
  <c r="C214" i="16"/>
  <c r="C269" i="16"/>
  <c r="C539" i="16"/>
  <c r="C277" i="16"/>
  <c r="C130" i="16"/>
  <c r="C312" i="16"/>
  <c r="C133" i="16"/>
  <c r="C180" i="16"/>
  <c r="C247" i="16"/>
  <c r="C285" i="16"/>
  <c r="C155" i="16"/>
  <c r="C535" i="16"/>
  <c r="C156" i="16"/>
  <c r="C553" i="16"/>
  <c r="C295" i="16"/>
  <c r="C290" i="16"/>
  <c r="C253" i="16"/>
  <c r="C235" i="16"/>
  <c r="C296" i="16"/>
  <c r="C402" i="16"/>
  <c r="C463" i="16"/>
  <c r="C332" i="16"/>
  <c r="C260" i="16"/>
  <c r="C278" i="16"/>
  <c r="C256" i="16"/>
  <c r="C387" i="16"/>
  <c r="C396" i="16"/>
  <c r="C411" i="16"/>
  <c r="C171" i="16"/>
  <c r="C321" i="16"/>
  <c r="C511" i="16"/>
  <c r="C61" i="16"/>
  <c r="C57" i="16"/>
  <c r="C297" i="16"/>
  <c r="C265" i="16"/>
  <c r="C279" i="16"/>
  <c r="C286" i="16"/>
  <c r="C298" i="16"/>
  <c r="C195" i="16"/>
  <c r="C198" i="16"/>
  <c r="C270" i="16"/>
  <c r="C271" i="16"/>
  <c r="C408" i="16"/>
  <c r="C186" i="16"/>
  <c r="C405" i="16"/>
  <c r="C423" i="16"/>
  <c r="C367" i="16"/>
  <c r="C142" i="16"/>
  <c r="C165" i="16"/>
  <c r="C58" i="16"/>
  <c r="C517" i="16"/>
  <c r="C159" i="16"/>
  <c r="C162" i="16"/>
  <c r="C6" i="16"/>
  <c r="C177" i="16"/>
  <c r="C352" i="16"/>
  <c r="C355" i="16"/>
  <c r="C502" i="16"/>
  <c r="C499" i="16"/>
  <c r="C226" i="16"/>
  <c r="C88" i="16"/>
  <c r="C317" i="16"/>
  <c r="C287" i="16"/>
  <c r="C302" i="16"/>
  <c r="C313" i="16"/>
  <c r="C272" i="16"/>
  <c r="C257" i="16"/>
  <c r="C540" i="16"/>
  <c r="C148" i="16"/>
  <c r="C261" i="16"/>
  <c r="C291" i="16"/>
  <c r="C305" i="16"/>
  <c r="C399" i="16"/>
  <c r="C314" i="16"/>
  <c r="C64" i="16"/>
  <c r="C139" i="16"/>
  <c r="C207" i="16"/>
  <c r="C262" i="16"/>
  <c r="C282" i="16"/>
  <c r="C204" i="16"/>
  <c r="C208" i="16"/>
  <c r="C560" i="16"/>
  <c r="C549" i="16"/>
  <c r="C572" i="16"/>
  <c r="C42" i="16"/>
  <c r="C273" i="16"/>
  <c r="C573" i="16"/>
  <c r="C574" i="16"/>
  <c r="C565" i="16"/>
  <c r="C561" i="16"/>
  <c r="C554" i="16"/>
  <c r="C545" i="16"/>
  <c r="C39" i="16"/>
  <c r="C45" i="16"/>
  <c r="C370" i="16"/>
  <c r="C299" i="16"/>
  <c r="C349" i="16"/>
  <c r="C433" i="16"/>
  <c r="C487" i="16"/>
  <c r="C390" i="16"/>
  <c r="C417" i="16"/>
  <c r="C414" i="16"/>
  <c r="C460" i="16"/>
  <c r="C371" i="16"/>
  <c r="C426" i="16"/>
  <c r="C546" i="16"/>
  <c r="C555" i="16"/>
  <c r="C427" i="16"/>
  <c r="C372" i="16"/>
  <c r="C393" i="16"/>
  <c r="C454" i="16"/>
  <c r="C566" i="16"/>
  <c r="C439" i="16"/>
  <c r="C436" i="16"/>
  <c r="C420" i="16"/>
  <c r="C448" i="16"/>
  <c r="C442" i="16"/>
  <c r="C541" i="16"/>
  <c r="C536" i="16"/>
  <c r="C550" i="16"/>
  <c r="C575" i="16"/>
  <c r="C542" i="16"/>
  <c r="C569" i="16"/>
  <c r="C103" i="16"/>
  <c r="C76" i="16"/>
  <c r="C106" i="16"/>
  <c r="C241" i="16"/>
  <c r="C67" i="16"/>
  <c r="C145" i="16"/>
  <c r="C244" i="16"/>
  <c r="C201" i="16"/>
  <c r="C217" i="16"/>
  <c r="C24" i="16"/>
  <c r="C73" i="16"/>
  <c r="C223" i="16"/>
  <c r="C109" i="16"/>
  <c r="C238" i="16"/>
  <c r="C587" i="16"/>
  <c r="C82" i="16"/>
  <c r="C85" i="16"/>
  <c r="C309" i="16"/>
  <c r="C112" i="16"/>
  <c r="C584" i="16"/>
  <c r="C578" i="16"/>
  <c r="C94" i="16"/>
  <c r="C121" i="16"/>
  <c r="C118" i="16"/>
  <c r="C115" i="16"/>
  <c r="C192" i="16"/>
  <c r="C556" i="16"/>
  <c r="C562" i="16"/>
  <c r="C151" i="16"/>
  <c r="C127" i="16"/>
  <c r="C79" i="16"/>
  <c r="C124" i="16"/>
  <c r="C18" i="16"/>
  <c r="C152" i="16"/>
  <c r="C557" i="16"/>
  <c r="C27" i="16"/>
  <c r="C183" i="16"/>
  <c r="C333" i="16"/>
  <c r="C232" i="16"/>
  <c r="C329" i="16"/>
  <c r="C168" i="16"/>
  <c r="C174" i="16"/>
  <c r="C490" i="16"/>
  <c r="C484" i="16"/>
  <c r="C478" i="16"/>
  <c r="C472" i="16"/>
  <c r="C469" i="16"/>
  <c r="C445" i="16"/>
  <c r="C523" i="16"/>
  <c r="C505" i="16"/>
  <c r="C526" i="16"/>
  <c r="C532" i="16"/>
  <c r="C378" i="16"/>
  <c r="C375" i="16"/>
  <c r="C481" i="16"/>
  <c r="C520" i="16"/>
  <c r="C451" i="16"/>
  <c r="C529" i="16"/>
  <c r="C379" i="16"/>
  <c r="C383" i="16"/>
  <c r="C54" i="16"/>
  <c r="C325" i="16"/>
  <c r="C326" i="16"/>
  <c r="C2" i="16"/>
  <c r="C339" i="16"/>
  <c r="C9" i="16"/>
  <c r="C358" i="16"/>
  <c r="C48" i="16"/>
  <c r="C33" i="16"/>
  <c r="C340" i="16"/>
  <c r="C51" i="16"/>
  <c r="C3" i="16"/>
  <c r="C36" i="16"/>
  <c r="C341" i="16"/>
  <c r="C342" i="16"/>
  <c r="C343" i="16"/>
  <c r="C344" i="16"/>
  <c r="C345" i="16"/>
  <c r="C346" i="16"/>
  <c r="C359" i="16"/>
  <c r="C360" i="16"/>
  <c r="C466" i="16"/>
  <c r="C361" i="16"/>
  <c r="C380" i="16"/>
  <c r="C362" i="16"/>
  <c r="C363" i="16"/>
  <c r="C364" i="16"/>
  <c r="C496" i="16"/>
  <c r="C430" i="16"/>
  <c r="C457" i="16"/>
  <c r="C493" i="16"/>
  <c r="C508" i="16"/>
  <c r="C514" i="16"/>
  <c r="C475" i="16"/>
  <c r="C30" i="16"/>
  <c r="C189" i="16"/>
  <c r="C306" i="16"/>
  <c r="C15" i="16"/>
  <c r="C97" i="16"/>
  <c r="C581" i="16"/>
  <c r="C21" i="16"/>
  <c r="C229" i="16"/>
  <c r="C250" i="16"/>
  <c r="C70" i="16"/>
  <c r="C322" i="16"/>
  <c r="C100" i="16"/>
  <c r="C12" i="16"/>
  <c r="C211" i="16"/>
  <c r="C1" i="16"/>
  <c r="K590" i="16" l="1"/>
  <c r="K591" i="16"/>
  <c r="B1" i="14"/>
  <c r="B2" i="14" l="1"/>
  <c r="B3" i="14"/>
  <c r="B4" i="14"/>
  <c r="B5" i="14"/>
  <c r="F16" i="13" l="1"/>
  <c r="F15" i="13"/>
  <c r="F14" i="13"/>
  <c r="C2" i="4" l="1"/>
  <c r="E3" i="1" l="1"/>
</calcChain>
</file>

<file path=xl/sharedStrings.xml><?xml version="1.0" encoding="utf-8"?>
<sst xmlns="http://schemas.openxmlformats.org/spreadsheetml/2006/main" count="2778" uniqueCount="974">
  <si>
    <t>列1</t>
  </si>
  <si>
    <t>列2</t>
  </si>
  <si>
    <t>列3</t>
  </si>
  <si>
    <t>列4</t>
  </si>
  <si>
    <t>列5</t>
  </si>
  <si>
    <t>4564
46464</t>
    <phoneticPr fontId="1" type="noConversion"/>
  </si>
  <si>
    <t>a'a</t>
    <phoneticPr fontId="1" type="noConversion"/>
  </si>
  <si>
    <t>test2.xlsm</t>
  </si>
  <si>
    <t>test2.xlsm</t>
    <phoneticPr fontId="1" type="noConversion"/>
  </si>
  <si>
    <t>C:\Users\liuzhiyue\Desktop</t>
  </si>
  <si>
    <t>男</t>
    <phoneticPr fontId="1" type="noConversion"/>
  </si>
  <si>
    <t>女</t>
    <phoneticPr fontId="1" type="noConversion"/>
  </si>
  <si>
    <t>性别</t>
    <phoneticPr fontId="1" type="noConversion"/>
  </si>
  <si>
    <t>成绩</t>
    <phoneticPr fontId="1" type="noConversion"/>
  </si>
  <si>
    <t>序号</t>
    <phoneticPr fontId="1" type="noConversion"/>
  </si>
  <si>
    <t>性别</t>
  </si>
  <si>
    <t>成绩</t>
  </si>
  <si>
    <t>序号</t>
  </si>
  <si>
    <t>男</t>
  </si>
  <si>
    <t>女</t>
  </si>
  <si>
    <t>JHA8253S0000B (1)</t>
  </si>
  <si>
    <t>JHA8253N0012F (7)</t>
  </si>
  <si>
    <t>JHT8253000006 (4)</t>
  </si>
  <si>
    <t>JHA8253L00011 (1)</t>
  </si>
  <si>
    <t>JHA8253K000C6 (1)</t>
  </si>
  <si>
    <t>sdsad</t>
    <phoneticPr fontId="1" type="noConversion"/>
  </si>
  <si>
    <t>FactoryName</t>
  </si>
  <si>
    <t>位置</t>
  </si>
  <si>
    <t>Pallet ID</t>
  </si>
  <si>
    <t>FG Code</t>
  </si>
  <si>
    <t>Panel Type</t>
  </si>
  <si>
    <t>等级</t>
  </si>
  <si>
    <t>Check In</t>
  </si>
  <si>
    <t>Revision</t>
  </si>
  <si>
    <t>D/E</t>
  </si>
  <si>
    <t>Panel  数量</t>
  </si>
  <si>
    <t>Hold 状态</t>
  </si>
  <si>
    <t>B4</t>
  </si>
  <si>
    <t>B-91-01-01-01</t>
  </si>
  <si>
    <t>2024X8S00073020</t>
  </si>
  <si>
    <t>EV240WUM-N10-4WS0</t>
  </si>
  <si>
    <t>Normal</t>
  </si>
  <si>
    <t>A</t>
  </si>
  <si>
    <t>MC1</t>
  </si>
  <si>
    <t>S</t>
  </si>
  <si>
    <t>D</t>
  </si>
  <si>
    <t>NotOnHold</t>
  </si>
  <si>
    <t>B-91-01-01-02</t>
  </si>
  <si>
    <t>20253XNY0014002</t>
  </si>
  <si>
    <t>MV240WUM-NX3-4D40</t>
  </si>
  <si>
    <t>M02</t>
  </si>
  <si>
    <t>N</t>
  </si>
  <si>
    <t>B-91-01-02-01</t>
  </si>
  <si>
    <t>202538001253</t>
  </si>
  <si>
    <t>MV238FHB-K10-47M1</t>
  </si>
  <si>
    <t>Open Cell</t>
  </si>
  <si>
    <t>F</t>
  </si>
  <si>
    <t>J96</t>
  </si>
  <si>
    <t>0</t>
  </si>
  <si>
    <t>B-91-01-02-02</t>
  </si>
  <si>
    <t>202538K00024</t>
  </si>
  <si>
    <t>M01</t>
  </si>
  <si>
    <t>K</t>
  </si>
  <si>
    <t>B-91-01-02-03</t>
  </si>
  <si>
    <t>202538S0015E</t>
  </si>
  <si>
    <t>M08</t>
  </si>
  <si>
    <t>B-91-01-02-04</t>
  </si>
  <si>
    <t>2024Z8000CEA002</t>
  </si>
  <si>
    <t>DV550FHB-NV2-4WK4</t>
  </si>
  <si>
    <t>Q</t>
  </si>
  <si>
    <t>B-91-01-01-27</t>
  </si>
  <si>
    <t>202538N00333</t>
  </si>
  <si>
    <t>MV238FHB-K10-47M0</t>
  </si>
  <si>
    <t>B-91-01-01-28</t>
  </si>
  <si>
    <t>2025380Y0065004</t>
  </si>
  <si>
    <t>MV238FHB-N52-4D50</t>
  </si>
  <si>
    <t>B-91-01-01-30</t>
  </si>
  <si>
    <t>202538Q00002004</t>
  </si>
  <si>
    <t>MV270FHB-NF2-4851</t>
  </si>
  <si>
    <t>B-91-01-01-31</t>
  </si>
  <si>
    <t>202538000AEF004</t>
  </si>
  <si>
    <t>MV238FHB-N53-4W40</t>
  </si>
  <si>
    <t>B-91-01-01-34</t>
  </si>
  <si>
    <t>20253800108F001</t>
  </si>
  <si>
    <t>B-91-01-01-36</t>
  </si>
  <si>
    <t>20253800122D</t>
  </si>
  <si>
    <t>DV320FHB-N01-49P0</t>
  </si>
  <si>
    <t>B-91-01-01-37</t>
  </si>
  <si>
    <t>202538S00154</t>
  </si>
  <si>
    <t>B-91-01-01-39</t>
  </si>
  <si>
    <t>20253XPY001A002</t>
  </si>
  <si>
    <t>T</t>
  </si>
  <si>
    <t>P</t>
  </si>
  <si>
    <t>B-91-01-01-40</t>
  </si>
  <si>
    <t>202538S00152</t>
  </si>
  <si>
    <t>B-91-01-01-42</t>
  </si>
  <si>
    <t>20253X0Y005F</t>
  </si>
  <si>
    <t>B-91-01-01-43</t>
  </si>
  <si>
    <t>202538000628</t>
  </si>
  <si>
    <t>MV238FHM-K11-47M1</t>
  </si>
  <si>
    <t>B-91-01-01-44</t>
  </si>
  <si>
    <t>20253800026C003</t>
  </si>
  <si>
    <t>MV238FHB-K10-47M5</t>
  </si>
  <si>
    <t>B-91-01-01-45</t>
  </si>
  <si>
    <t>202528N00536001</t>
  </si>
  <si>
    <t>L</t>
  </si>
  <si>
    <t>B-91-01-01-52</t>
  </si>
  <si>
    <t>20253X0Y005B</t>
  </si>
  <si>
    <t>MV238FHM-NG1-4M50</t>
  </si>
  <si>
    <t>B-91-01-01-54</t>
  </si>
  <si>
    <t>202538000EAC004</t>
  </si>
  <si>
    <t>B-91-01-01-55</t>
  </si>
  <si>
    <t>20253X0Y005A</t>
  </si>
  <si>
    <t>B-91-01-01-57</t>
  </si>
  <si>
    <t>20253800122C</t>
  </si>
  <si>
    <t>B-91-01-01-58</t>
  </si>
  <si>
    <t>202538K00022</t>
  </si>
  <si>
    <t>B-91-01-01-60</t>
  </si>
  <si>
    <t>202538L000D0002</t>
  </si>
  <si>
    <t>B-91-01-01-61</t>
  </si>
  <si>
    <t>202538N00301001</t>
  </si>
  <si>
    <t>B-91-01-01-63</t>
  </si>
  <si>
    <t>202528000DF7003</t>
  </si>
  <si>
    <t>MV238FHB-K11-47M0</t>
  </si>
  <si>
    <t>B-91-01-01-64</t>
  </si>
  <si>
    <t>202538K0001A001</t>
  </si>
  <si>
    <t>B-91-01-01-66</t>
  </si>
  <si>
    <t>2025380009EF001</t>
  </si>
  <si>
    <t>B-91-01-01-67</t>
  </si>
  <si>
    <t>202538L000CC001</t>
  </si>
  <si>
    <t>DV550FHB-NV1-49K2</t>
  </si>
  <si>
    <t>B-91-01-01-69</t>
  </si>
  <si>
    <t>202518000CDB007</t>
  </si>
  <si>
    <t>MV215FHB-N20-48S0</t>
  </si>
  <si>
    <t>B-91-01-01-70</t>
  </si>
  <si>
    <t>20253800122E</t>
  </si>
  <si>
    <t>B-91-01-01-72</t>
  </si>
  <si>
    <t>202538S00158</t>
  </si>
  <si>
    <t>B-91-01-01-73</t>
  </si>
  <si>
    <t>20253800122F</t>
  </si>
  <si>
    <t>B-91-01-01-75</t>
  </si>
  <si>
    <t>2025380008E2</t>
  </si>
  <si>
    <t>B-91-01-01-76</t>
  </si>
  <si>
    <t>2025380009E7001</t>
  </si>
  <si>
    <t>B-91-01-01-78</t>
  </si>
  <si>
    <t>2025380010BC002</t>
  </si>
  <si>
    <t>DV550FHB-NV2-4WK3</t>
  </si>
  <si>
    <t>B-91-01-01-79</t>
  </si>
  <si>
    <t>2024Y80004CC003</t>
  </si>
  <si>
    <t>MV238FHM-N52-4D50</t>
  </si>
  <si>
    <t>B-91-01-01-81</t>
  </si>
  <si>
    <t>202538N0034A</t>
  </si>
  <si>
    <t>B-91-01-01-82</t>
  </si>
  <si>
    <t>202538L00041001</t>
  </si>
  <si>
    <t>DV460FHB-NV3-4WK0</t>
  </si>
  <si>
    <t>B-91-01-01-84</t>
  </si>
  <si>
    <t>202538SY0014</t>
  </si>
  <si>
    <t>MV270FHB-NX4-4D50</t>
  </si>
  <si>
    <t>B-91-01-01-85</t>
  </si>
  <si>
    <t>2025380Y0067</t>
  </si>
  <si>
    <t>B-91-01-01-87</t>
  </si>
  <si>
    <t>202538K00026</t>
  </si>
  <si>
    <t>B-91-01-01-88</t>
  </si>
  <si>
    <t>202538L000E4</t>
  </si>
  <si>
    <t>B-91-01-01-90</t>
  </si>
  <si>
    <t>202538S0015F</t>
  </si>
  <si>
    <t>B-91-01-01-91</t>
  </si>
  <si>
    <t>202538N00350</t>
  </si>
  <si>
    <t>B-91-01-01-93</t>
  </si>
  <si>
    <t>202538K00025</t>
  </si>
  <si>
    <t>B-91-01-01-94</t>
  </si>
  <si>
    <t>202538001258</t>
  </si>
  <si>
    <t>MV238FHB-NF1-4853</t>
  </si>
  <si>
    <t>B-91-01-01-96</t>
  </si>
  <si>
    <t>202538M00034</t>
  </si>
  <si>
    <t>J97</t>
  </si>
  <si>
    <t>M</t>
  </si>
  <si>
    <t>B-91-01-01-97</t>
  </si>
  <si>
    <t>202538001256</t>
  </si>
  <si>
    <t>B-91-01-01-99</t>
  </si>
  <si>
    <t>202538001254</t>
  </si>
  <si>
    <t>B-91-01-01-05</t>
  </si>
  <si>
    <t>2024Z800058B003</t>
  </si>
  <si>
    <t>B-91-01-01-06</t>
  </si>
  <si>
    <t>202528L000D3001</t>
  </si>
  <si>
    <t>MV238FHM-K10-47M0</t>
  </si>
  <si>
    <t>B-91-01-01-08</t>
  </si>
  <si>
    <t>202528000F33001</t>
  </si>
  <si>
    <t>M06</t>
  </si>
  <si>
    <t>B-91-01-01-09</t>
  </si>
  <si>
    <t>202528R00018001</t>
  </si>
  <si>
    <t>DV550FHB-NV1-4WK3</t>
  </si>
  <si>
    <t>R</t>
  </si>
  <si>
    <t>B-91-01-01-10</t>
  </si>
  <si>
    <t>202528000BB2004</t>
  </si>
  <si>
    <t>DV550FHB-NVH-4WK2</t>
  </si>
  <si>
    <t>B-91-01-01-11</t>
  </si>
  <si>
    <t>202528L000D1001</t>
  </si>
  <si>
    <t>MV238QHM-NX0-485Z</t>
  </si>
  <si>
    <t>B-91-01-01-12</t>
  </si>
  <si>
    <t>202538000629</t>
  </si>
  <si>
    <t>MV238FHM-NG0-4944</t>
  </si>
  <si>
    <t>B-91-01-01-13</t>
  </si>
  <si>
    <t>2025280Y0012001</t>
  </si>
  <si>
    <t>B-91-01-01-14</t>
  </si>
  <si>
    <t>2024Z8M0003A002</t>
  </si>
  <si>
    <t>DV460FHB-NV2-4WK2</t>
  </si>
  <si>
    <t>B-91-01-01-15</t>
  </si>
  <si>
    <t>202538000624</t>
  </si>
  <si>
    <t>MV238FHM-NG1-4940</t>
  </si>
  <si>
    <t>B-91-01-01-16</t>
  </si>
  <si>
    <t>202538000622</t>
  </si>
  <si>
    <t>MV238FHM-NG0-4D40</t>
  </si>
  <si>
    <t>B-91-01-01-17</t>
  </si>
  <si>
    <t>202538000651</t>
  </si>
  <si>
    <t>MV340VWM-NG0-4D50</t>
  </si>
  <si>
    <t>B-91-01-01-18</t>
  </si>
  <si>
    <t>202538000626</t>
  </si>
  <si>
    <t>MV238FHM-N51-4W50</t>
  </si>
  <si>
    <t>B-91-01-01-19</t>
  </si>
  <si>
    <t>202538L000D8</t>
  </si>
  <si>
    <t>DV550FHM-NHT-4WK0</t>
  </si>
  <si>
    <t>B-91-01-01-20</t>
  </si>
  <si>
    <t>202538001139</t>
  </si>
  <si>
    <t>B-91-01-01-22</t>
  </si>
  <si>
    <t>202538R00019</t>
  </si>
  <si>
    <t>DV460FHM-NV2-4WK0</t>
  </si>
  <si>
    <t>P03</t>
  </si>
  <si>
    <t>B-91-01-01-23</t>
  </si>
  <si>
    <t>202538R00018</t>
  </si>
  <si>
    <t>DV460FHM-NV2-4WK4</t>
  </si>
  <si>
    <t>MV238FHB-N51-4W50</t>
  </si>
  <si>
    <t>B-91-01-01-25</t>
  </si>
  <si>
    <t>202538L00038002</t>
  </si>
  <si>
    <t>B-91-01-01-26</t>
  </si>
  <si>
    <t>20253800002B018</t>
  </si>
  <si>
    <t>B-91-01-01-35</t>
  </si>
  <si>
    <t>202538Q00027</t>
  </si>
  <si>
    <t>B-91-01-01-38</t>
  </si>
  <si>
    <t>202538N00349</t>
  </si>
  <si>
    <t>B-91-01-01-41</t>
  </si>
  <si>
    <t>20253800109B001</t>
  </si>
  <si>
    <t>B-91-01-01-46</t>
  </si>
  <si>
    <t>202538S0014E003</t>
  </si>
  <si>
    <t>B-91-01-01-49</t>
  </si>
  <si>
    <t>202538001182</t>
  </si>
  <si>
    <t>B-91-01-01-51</t>
  </si>
  <si>
    <t>20253800110B001</t>
  </si>
  <si>
    <t>B-91-01-01-53</t>
  </si>
  <si>
    <t>2025380010CE004</t>
  </si>
  <si>
    <t>DV185WHM-NM1-48S0</t>
  </si>
  <si>
    <t>B-91-01-01-59</t>
  </si>
  <si>
    <t>202538L000B6001</t>
  </si>
  <si>
    <t>MV238QHB-N21-4850</t>
  </si>
  <si>
    <t>B-91-01-01-65</t>
  </si>
  <si>
    <t>20253800110C001</t>
  </si>
  <si>
    <t>B-91-01-01-68</t>
  </si>
  <si>
    <t>202538L000E1</t>
  </si>
  <si>
    <t>B-91-01-01-74</t>
  </si>
  <si>
    <t>202538001230</t>
  </si>
  <si>
    <t>B-91-01-01-77</t>
  </si>
  <si>
    <t>202538X00018001</t>
  </si>
  <si>
    <t>X</t>
  </si>
  <si>
    <t>B-91-01-01-80</t>
  </si>
  <si>
    <t>202538S00159</t>
  </si>
  <si>
    <t>B-91-01-01-83</t>
  </si>
  <si>
    <t>202538NY0035</t>
  </si>
  <si>
    <t>B-91-01-01-86</t>
  </si>
  <si>
    <t>202518M00024001</t>
  </si>
  <si>
    <t>MV238QHM-NX2-D840</t>
  </si>
  <si>
    <t>B-91-01-01-89</t>
  </si>
  <si>
    <t>202538X0003B</t>
  </si>
  <si>
    <t>B-91-01-01-92</t>
  </si>
  <si>
    <t>202538001259</t>
  </si>
  <si>
    <t>B-91-01-01-95</t>
  </si>
  <si>
    <t>202538Q00028</t>
  </si>
  <si>
    <t>B-91-01-01-98</t>
  </si>
  <si>
    <t>202538001255</t>
  </si>
  <si>
    <t>B-91-01-02-06</t>
  </si>
  <si>
    <t>202538X0003A</t>
  </si>
  <si>
    <t>B-91-01-02-09</t>
  </si>
  <si>
    <t>202538X00039</t>
  </si>
  <si>
    <t>B-91-01-02-12</t>
  </si>
  <si>
    <t>202538L000E3</t>
  </si>
  <si>
    <t>B-91-01-02-15</t>
  </si>
  <si>
    <t>202538N0034D</t>
  </si>
  <si>
    <t>B-91-01-02-18</t>
  </si>
  <si>
    <t>202538S00163</t>
  </si>
  <si>
    <t>MV270FHM-N42-494Z</t>
  </si>
  <si>
    <t>B-91-01-02-05</t>
  </si>
  <si>
    <t>202538001257</t>
  </si>
  <si>
    <t>B-91-01-02-07</t>
  </si>
  <si>
    <t>202538N0034F</t>
  </si>
  <si>
    <t>B-91-01-02-08</t>
  </si>
  <si>
    <t>202538N0034E</t>
  </si>
  <si>
    <t>B-91-01-02-10</t>
  </si>
  <si>
    <t>202538S0015D</t>
  </si>
  <si>
    <t>B-91-01-02-11</t>
  </si>
  <si>
    <t>202538X00038</t>
  </si>
  <si>
    <t>B-91-01-02-13</t>
  </si>
  <si>
    <t>202538001252</t>
  </si>
  <si>
    <t>B-91-01-02-14</t>
  </si>
  <si>
    <t>202538M00033</t>
  </si>
  <si>
    <t>B-91-01-02-16</t>
  </si>
  <si>
    <t>202538001263</t>
  </si>
  <si>
    <t>B-91-01-02-17</t>
  </si>
  <si>
    <t>202538N00353</t>
  </si>
  <si>
    <t>B-91-01-02-19</t>
  </si>
  <si>
    <t>202538L000E5</t>
  </si>
  <si>
    <t>B-91-01-02-20</t>
  </si>
  <si>
    <t>202538K00023</t>
  </si>
  <si>
    <t>A-06-02-01-02</t>
  </si>
  <si>
    <t>202528R00012</t>
  </si>
  <si>
    <t>A-06-03-01-01</t>
  </si>
  <si>
    <t>202518R0003C</t>
  </si>
  <si>
    <t>DV550FHB-NV1-4WK2</t>
  </si>
  <si>
    <t>A-06-03-01-02</t>
  </si>
  <si>
    <t>202538R00008</t>
  </si>
  <si>
    <t>DV490FHB-NV0-4WK0</t>
  </si>
  <si>
    <t>P16</t>
  </si>
  <si>
    <t>A-06-04-01-01</t>
  </si>
  <si>
    <t>202538M00013</t>
  </si>
  <si>
    <t>A-06-04-01-02</t>
  </si>
  <si>
    <t>202528X00003004</t>
  </si>
  <si>
    <t>A-06-04-01-03</t>
  </si>
  <si>
    <t>202528L0010E004</t>
  </si>
  <si>
    <t>A-06-04-02-01</t>
  </si>
  <si>
    <t>20253800081E</t>
  </si>
  <si>
    <t>DV550FHB-NV1-4WK0</t>
  </si>
  <si>
    <t>A-06-04-02-02</t>
  </si>
  <si>
    <t>202538L0002B</t>
  </si>
  <si>
    <t>A-06-04-02-03</t>
  </si>
  <si>
    <t>202538L0003F</t>
  </si>
  <si>
    <t>A-06-04-03-01</t>
  </si>
  <si>
    <t>202538M0002E002</t>
  </si>
  <si>
    <t>A-06-04-03-02</t>
  </si>
  <si>
    <t>202538001181001</t>
  </si>
  <si>
    <t>A-06-04-03-03</t>
  </si>
  <si>
    <t>202538L00024</t>
  </si>
  <si>
    <t>A-06-04-04-01</t>
  </si>
  <si>
    <t>202528L000EA001</t>
  </si>
  <si>
    <t>A-06-04-04-02</t>
  </si>
  <si>
    <t>202538L0006E</t>
  </si>
  <si>
    <t>A-06-04-04-03</t>
  </si>
  <si>
    <t>202538S00069004</t>
  </si>
  <si>
    <t>A-06-04-05-01</t>
  </si>
  <si>
    <t>202538S0013C004</t>
  </si>
  <si>
    <t>A-06-04-05-02</t>
  </si>
  <si>
    <t>202398L00181006</t>
  </si>
  <si>
    <t>A-06-04-05-03</t>
  </si>
  <si>
    <t>202518000B99002</t>
  </si>
  <si>
    <t>A-06-04-06-01</t>
  </si>
  <si>
    <t>202538S00068004</t>
  </si>
  <si>
    <t>A-06-04-06-02</t>
  </si>
  <si>
    <t>202538000897006</t>
  </si>
  <si>
    <t>A-06-04-06-03</t>
  </si>
  <si>
    <t>202518L000B9001</t>
  </si>
  <si>
    <t>A-06-04-07-01</t>
  </si>
  <si>
    <t>202538001028003</t>
  </si>
  <si>
    <t>A-06-04-07-02</t>
  </si>
  <si>
    <t>202538001023001</t>
  </si>
  <si>
    <t>A-06-04-07-03</t>
  </si>
  <si>
    <t>202538L000C0001</t>
  </si>
  <si>
    <t>A-06-04-08-01</t>
  </si>
  <si>
    <t>202538N00304005</t>
  </si>
  <si>
    <t>A-06-04-08-02</t>
  </si>
  <si>
    <t>202538001093001</t>
  </si>
  <si>
    <t>A-06-04-08-03</t>
  </si>
  <si>
    <t>202538Q00026003</t>
  </si>
  <si>
    <t>A-06-05-01-01</t>
  </si>
  <si>
    <t>202538S0013F</t>
  </si>
  <si>
    <t>MV270FHB-NF1-4852</t>
  </si>
  <si>
    <t>A-06-05-01-02</t>
  </si>
  <si>
    <t>202538S0013E</t>
  </si>
  <si>
    <t>MV270FHB-NF5-4D40</t>
  </si>
  <si>
    <t>A-06-05-01-03</t>
  </si>
  <si>
    <t>202538N002E4</t>
  </si>
  <si>
    <t>A-06-05-02-01</t>
  </si>
  <si>
    <t>202538N002B9003</t>
  </si>
  <si>
    <t>A-06-05-02-02</t>
  </si>
  <si>
    <t>202528L000C2004</t>
  </si>
  <si>
    <t>MV270FHB-NX2-4M51</t>
  </si>
  <si>
    <t>A-06-05-02-03</t>
  </si>
  <si>
    <t>202538L000B5</t>
  </si>
  <si>
    <t>MV238QHB-NX1-4851</t>
  </si>
  <si>
    <t>MV270FHB-NF5-4D41</t>
  </si>
  <si>
    <t>A-06-05-03-02</t>
  </si>
  <si>
    <t>202538L000B4</t>
  </si>
  <si>
    <t>A-06-05-04-01</t>
  </si>
  <si>
    <t>202538L000B3</t>
  </si>
  <si>
    <t>A-06-05-04-02</t>
  </si>
  <si>
    <t>202538LY0015</t>
  </si>
  <si>
    <t>A-06-05-04-03</t>
  </si>
  <si>
    <t>202538S00141</t>
  </si>
  <si>
    <t>MV270QHB-NF5-4940</t>
  </si>
  <si>
    <t>A-06-05-05-02</t>
  </si>
  <si>
    <t>2024X8L000DF007</t>
  </si>
  <si>
    <t>A-06-05-06-01</t>
  </si>
  <si>
    <t>202538001022</t>
  </si>
  <si>
    <t>A-06-05-06-02</t>
  </si>
  <si>
    <t>202538L000C3</t>
  </si>
  <si>
    <t>A-06-05-06-03</t>
  </si>
  <si>
    <t>202538S00136004</t>
  </si>
  <si>
    <t>A-06-05-07-01</t>
  </si>
  <si>
    <t>2024X8N00009008</t>
  </si>
  <si>
    <t>A-06-05-07-02</t>
  </si>
  <si>
    <t>202518L000DA002</t>
  </si>
  <si>
    <t>MV270FHB-NF4-4940</t>
  </si>
  <si>
    <t>A-06-05-07-03</t>
  </si>
  <si>
    <t>202518L00112002</t>
  </si>
  <si>
    <t>MV270FHB-NF3-4850</t>
  </si>
  <si>
    <t>A-06-05-08-01</t>
  </si>
  <si>
    <t>202538L000C9</t>
  </si>
  <si>
    <t>A-06-05-08-02</t>
  </si>
  <si>
    <t>2024Z8L0009F006</t>
  </si>
  <si>
    <t>MV270FHB-N42-4944</t>
  </si>
  <si>
    <t>A-06-07-01-02</t>
  </si>
  <si>
    <t>2024X8N001FB</t>
  </si>
  <si>
    <t>DV185WHM-NM2-48S0</t>
  </si>
  <si>
    <t>A-06-04-09-02</t>
  </si>
  <si>
    <t>202538L000AF003</t>
  </si>
  <si>
    <t>A-06-04-10-02</t>
  </si>
  <si>
    <t>20253800102A</t>
  </si>
  <si>
    <t>A-06-05-09-01</t>
  </si>
  <si>
    <t>202538L0001A002</t>
  </si>
  <si>
    <t>MV270FHB-N42-4851</t>
  </si>
  <si>
    <t>A-06-05-10-01</t>
  </si>
  <si>
    <t>202538L0001C002</t>
  </si>
  <si>
    <t>MV270FHB-N42-4940</t>
  </si>
  <si>
    <t>A-06-05-09-02</t>
  </si>
  <si>
    <t>202518L000A6002</t>
  </si>
  <si>
    <t>MV270FHB-N42-4941</t>
  </si>
  <si>
    <t>A-06-05-11-01</t>
  </si>
  <si>
    <t>202518000CF8008</t>
  </si>
  <si>
    <t>MV238FHB-NX5-D850</t>
  </si>
  <si>
    <t>MV270FHB-N40-4943</t>
  </si>
  <si>
    <t>A-06-04-11-02</t>
  </si>
  <si>
    <t>202538001029</t>
  </si>
  <si>
    <t>A-06-04-09-01</t>
  </si>
  <si>
    <t>202538X00003010</t>
  </si>
  <si>
    <t>A-06-04-10-01</t>
  </si>
  <si>
    <t>202538S00145</t>
  </si>
  <si>
    <t>MV238QHB-N13-4851</t>
  </si>
  <si>
    <t>A-06-05-13-01</t>
  </si>
  <si>
    <t>202538L00019003</t>
  </si>
  <si>
    <t>A-06-04-11-01</t>
  </si>
  <si>
    <t>202538N002E5</t>
  </si>
  <si>
    <t>A-06-05-12-02</t>
  </si>
  <si>
    <t>202538L0001E003</t>
  </si>
  <si>
    <t>MV270FHB-N40-494Y</t>
  </si>
  <si>
    <t>A-06-05-11-03</t>
  </si>
  <si>
    <t>202538L0003A002</t>
  </si>
  <si>
    <t>A-06-04-09-03</t>
  </si>
  <si>
    <t>202538S00144</t>
  </si>
  <si>
    <t>A-06-04-11-03</t>
  </si>
  <si>
    <t>202538000FA6</t>
  </si>
  <si>
    <t>A-06-04-10-03</t>
  </si>
  <si>
    <t>202538L000C4</t>
  </si>
  <si>
    <t>MV270QHB-NF2-4851</t>
  </si>
  <si>
    <t>A-06-01-01-07</t>
  </si>
  <si>
    <t>202518L00081002</t>
  </si>
  <si>
    <t>MV238FHM-K10-47M1</t>
  </si>
  <si>
    <t>A-06-01-01-09</t>
  </si>
  <si>
    <t>2025280010BF001</t>
  </si>
  <si>
    <t>A-06-01-01-20</t>
  </si>
  <si>
    <t>202518LY0004001</t>
  </si>
  <si>
    <t>MV238FHB-N50-4943</t>
  </si>
  <si>
    <t>A-06-01-01-23</t>
  </si>
  <si>
    <t>202528L00109001</t>
  </si>
  <si>
    <t>MV215FHB-N40-485V</t>
  </si>
  <si>
    <t>A-06-01-01-25</t>
  </si>
  <si>
    <t>202528L00069001</t>
  </si>
  <si>
    <t>MV238FHM-N62-4853</t>
  </si>
  <si>
    <t>A-06-01-01-05</t>
  </si>
  <si>
    <t>2024Z8L00096004</t>
  </si>
  <si>
    <t>A-06-03-01-04</t>
  </si>
  <si>
    <t>202538M00010</t>
  </si>
  <si>
    <t>A-06-03-01-05</t>
  </si>
  <si>
    <t>202538N00084001</t>
  </si>
  <si>
    <t>DV490FHB-NV0-4WK1</t>
  </si>
  <si>
    <t>A-06-03-01-07</t>
  </si>
  <si>
    <t>202538X0000B001</t>
  </si>
  <si>
    <t>A-06-03-01-08</t>
  </si>
  <si>
    <t>202538L00007001</t>
  </si>
  <si>
    <t>A-06-03-01-10</t>
  </si>
  <si>
    <t>202538M00006001</t>
  </si>
  <si>
    <t>A-06-03-01-11</t>
  </si>
  <si>
    <t>202448001060002</t>
  </si>
  <si>
    <t>A-06-03-01-13</t>
  </si>
  <si>
    <t>202538M0002C001</t>
  </si>
  <si>
    <t>DV460FHB-NV0-4WK0</t>
  </si>
  <si>
    <t>A-06-03-01-14</t>
  </si>
  <si>
    <t>2024Z8001905023</t>
  </si>
  <si>
    <t>A-06-03-01-16</t>
  </si>
  <si>
    <t>202528L00115005</t>
  </si>
  <si>
    <t>A-06-03-01-25</t>
  </si>
  <si>
    <t>202528X00023</t>
  </si>
  <si>
    <t>A-06-03-01-28</t>
  </si>
  <si>
    <t>202528000BF5001</t>
  </si>
  <si>
    <t>A-06-03-01-29</t>
  </si>
  <si>
    <t>202448000121003</t>
  </si>
  <si>
    <t>A-06-03-01-06</t>
  </si>
  <si>
    <t>202538R00005001</t>
  </si>
  <si>
    <t>A-06-03-01-09</t>
  </si>
  <si>
    <t>202528S000D3006</t>
  </si>
  <si>
    <t>DV460FHB-NV0-4WK3</t>
  </si>
  <si>
    <t>A-06-03-01-12</t>
  </si>
  <si>
    <t>202518X0004A009</t>
  </si>
  <si>
    <t>A-06-03-01-15</t>
  </si>
  <si>
    <t>202528000741002</t>
  </si>
  <si>
    <t>A-06-03-01-30</t>
  </si>
  <si>
    <t>202528000C5D</t>
  </si>
  <si>
    <t>A-06-03-01-32</t>
  </si>
  <si>
    <t>2024Z80019A5011</t>
  </si>
  <si>
    <t>DV550FHB-NVH-4MK1</t>
  </si>
  <si>
    <t>A-06-01-01-46</t>
  </si>
  <si>
    <t>20253800053A001</t>
  </si>
  <si>
    <t>MV270FHM-N40-4946</t>
  </si>
  <si>
    <t>A-06-01-01-49</t>
  </si>
  <si>
    <t>20253M0XZ003</t>
  </si>
  <si>
    <t>MV215FHM-N72-4D41</t>
  </si>
  <si>
    <t>A-06-01-01-50</t>
  </si>
  <si>
    <t>20253M0XZ002</t>
  </si>
  <si>
    <t>A-06-01-01-52</t>
  </si>
  <si>
    <t>2023780018C4003</t>
  </si>
  <si>
    <t>ZV190E0M-N10-4W51</t>
  </si>
  <si>
    <t>A-06-01-01-64</t>
  </si>
  <si>
    <t>202538A0015B</t>
  </si>
  <si>
    <t>DV550FHM-NVK-4WK1</t>
  </si>
  <si>
    <t>A-06-01-01-67</t>
  </si>
  <si>
    <t>2024Y8000593001</t>
  </si>
  <si>
    <t>MV270QHM-NF2-4D40</t>
  </si>
  <si>
    <t>A-06-03-01-35</t>
  </si>
  <si>
    <t>2025180004E1007</t>
  </si>
  <si>
    <t>DV550FHB-NVM-4WK1</t>
  </si>
  <si>
    <t>A-06-01-01-26</t>
  </si>
  <si>
    <t>202528L0007A001</t>
  </si>
  <si>
    <t>MV270FHM-N42-494X</t>
  </si>
  <si>
    <t>A-06-01-01-29</t>
  </si>
  <si>
    <t>202518L0010F001</t>
  </si>
  <si>
    <t>MV270QHB-N50-4M51</t>
  </si>
  <si>
    <t>A-06-01-01-40</t>
  </si>
  <si>
    <t>202538A0015A</t>
  </si>
  <si>
    <t>A-06-01-01-45</t>
  </si>
  <si>
    <t>20253800053B001</t>
  </si>
  <si>
    <t>MV270FHM-N42-4854</t>
  </si>
  <si>
    <t>A-06-01-01-51</t>
  </si>
  <si>
    <t>2023Z80005E6</t>
  </si>
  <si>
    <t>A-06-01-01-66</t>
  </si>
  <si>
    <t>2024Z8001758001</t>
  </si>
  <si>
    <t>MV270FHM-NF2-4D40</t>
  </si>
  <si>
    <t>A-06-02-01-04</t>
  </si>
  <si>
    <t>202538A00159</t>
  </si>
  <si>
    <t>A-06-02-01-05</t>
  </si>
  <si>
    <t>202538A00153</t>
  </si>
  <si>
    <t>A-06-02-01-08</t>
  </si>
  <si>
    <t>202538A00157</t>
  </si>
  <si>
    <t>A-06-02-01-07</t>
  </si>
  <si>
    <t>202538A00158</t>
  </si>
  <si>
    <t>A-06-02-01-09</t>
  </si>
  <si>
    <t>202538A00154</t>
  </si>
  <si>
    <t>A-06-02-01-10</t>
  </si>
  <si>
    <t>202538A00156</t>
  </si>
  <si>
    <t>A-06-03-01-37</t>
  </si>
  <si>
    <t>20252800083E</t>
  </si>
  <si>
    <t>A-06-03-01-39</t>
  </si>
  <si>
    <t>2025280007F3</t>
  </si>
  <si>
    <t>A-06-03-01-44</t>
  </si>
  <si>
    <t>2023Z8M000A5001</t>
  </si>
  <si>
    <t>DV550FHB-NV1-4932</t>
  </si>
  <si>
    <t>A-06-03-01-31</t>
  </si>
  <si>
    <t>2025280009B8001</t>
  </si>
  <si>
    <t>A-06-03-01-33</t>
  </si>
  <si>
    <t>20251800146A002</t>
  </si>
  <si>
    <t>A-06-03-01-34</t>
  </si>
  <si>
    <t>202518000608002</t>
  </si>
  <si>
    <t>A-06-03-01-36</t>
  </si>
  <si>
    <t>202518000608003</t>
  </si>
  <si>
    <t>A-06-03-01-38</t>
  </si>
  <si>
    <t>202528000871</t>
  </si>
  <si>
    <t>A-06-03-01-40</t>
  </si>
  <si>
    <t>202538R00007</t>
  </si>
  <si>
    <t>A-06-03-01-41</t>
  </si>
  <si>
    <t>202518M00042001</t>
  </si>
  <si>
    <t>A-06-03-01-48</t>
  </si>
  <si>
    <t>202538L00065001</t>
  </si>
  <si>
    <t>A-06-03-01-57</t>
  </si>
  <si>
    <t>2024Z8L0011B</t>
  </si>
  <si>
    <t>A-06-03-01-58</t>
  </si>
  <si>
    <t>202538000640002</t>
  </si>
  <si>
    <t>A-06-03-01-59</t>
  </si>
  <si>
    <t>2025380004CB</t>
  </si>
  <si>
    <t>A-06-03-01-61</t>
  </si>
  <si>
    <t>20253800026E001</t>
  </si>
  <si>
    <t>A-06-05-13-06</t>
  </si>
  <si>
    <t>202538L0001D003</t>
  </si>
  <si>
    <t>A-06-05-13-15</t>
  </si>
  <si>
    <t>20252X000613015</t>
  </si>
  <si>
    <t>MV238FHB-NY1-4W50</t>
  </si>
  <si>
    <t>A-06-05-13-17</t>
  </si>
  <si>
    <t>202538001109</t>
  </si>
  <si>
    <t>A-06-05-13-18</t>
  </si>
  <si>
    <t>202538M0000D001</t>
  </si>
  <si>
    <t>A-06-05-13-20</t>
  </si>
  <si>
    <t>202538M00031</t>
  </si>
  <si>
    <t>A-06-05-13-21</t>
  </si>
  <si>
    <t>202538001094</t>
  </si>
  <si>
    <t>A-06-05-13-23</t>
  </si>
  <si>
    <t>202518000A36005</t>
  </si>
  <si>
    <t>MV238FHB-N51-4D51</t>
  </si>
  <si>
    <t>A-06-05-13-27</t>
  </si>
  <si>
    <t>202538L00068003</t>
  </si>
  <si>
    <t>A-06-05-13-30</t>
  </si>
  <si>
    <t>202538S00131003</t>
  </si>
  <si>
    <t>A-06-05-13-13</t>
  </si>
  <si>
    <t>202528L000F8003</t>
  </si>
  <si>
    <t>A-06-05-13-16</t>
  </si>
  <si>
    <t>202538N0031F</t>
  </si>
  <si>
    <t>A-06-05-13-19</t>
  </si>
  <si>
    <t>20253800108A</t>
  </si>
  <si>
    <t>A-06-05-13-22</t>
  </si>
  <si>
    <t>202538001020001</t>
  </si>
  <si>
    <t>A-06-05-13-28</t>
  </si>
  <si>
    <t>202538L000B7001</t>
  </si>
  <si>
    <t>ZV190E0M-N10-4W51Q0J96D 汇总</t>
  </si>
  <si>
    <t>MV340VWM-NG0-4D50F0J96D 汇总</t>
  </si>
  <si>
    <t>MV270QHM-NF2-4D40F0J96D 汇总</t>
  </si>
  <si>
    <t>MV270QHB-NF5-4940Q0MC1D 汇总</t>
  </si>
  <si>
    <t>MV270QHB-NF5-4940FMJ97D 汇总</t>
  </si>
  <si>
    <t>MV270QHB-NF5-4940FLJ96D 汇总</t>
  </si>
  <si>
    <t>MV270QHB-NF5-4940F0J96D 汇总</t>
  </si>
  <si>
    <t>MV270QHB-NF5-4940ASM08D 汇总</t>
  </si>
  <si>
    <t>MV270QHB-NF5-4940ALMC1D 汇总</t>
  </si>
  <si>
    <t>MV270QHB-NF2-4851FLJ96D 汇总</t>
  </si>
  <si>
    <t>MV270QHB-N50-4M51FLJ96D 汇总</t>
  </si>
  <si>
    <t>MV270FHM-NF2-4D40F0J96D 汇总</t>
  </si>
  <si>
    <t>MV270FHM-N42-494ZQ0MC1D 汇总</t>
  </si>
  <si>
    <t>MV270FHM-N42-494ZASMC1D 汇总</t>
  </si>
  <si>
    <t>MV270FHM-N42-494ZANMC1D 汇总</t>
  </si>
  <si>
    <t>MV270FHM-N42-494XFLJ96D 汇总</t>
  </si>
  <si>
    <t>MV270FHM-N42-4854F0J96D 汇总</t>
  </si>
  <si>
    <t>MV270FHM-N40-4946F0J96D 汇总</t>
  </si>
  <si>
    <t>MV270FHB-NX4-4D50F0J96D 汇总</t>
  </si>
  <si>
    <t>MV270FHB-NX4-4D50ASM08D 汇总</t>
  </si>
  <si>
    <t>MV270FHB-NX4-4D50ANM08D 汇总</t>
  </si>
  <si>
    <t>MV270FHB-NX2-4M51FLJ96D 汇总</t>
  </si>
  <si>
    <t>MV270FHB-NF5-4D41FLJ96D 汇总</t>
  </si>
  <si>
    <t>MV270FHB-NF5-4D40FLJ96D 汇总</t>
  </si>
  <si>
    <t>MV270FHB-NF5-4D40ASMC1D 汇总</t>
  </si>
  <si>
    <t>MV270FHB-NF5-4D40ANMC1D 汇总</t>
  </si>
  <si>
    <t>MV270FHB-NF4-4940FLJ96D 汇总</t>
  </si>
  <si>
    <t>MV270FHB-NF3-4850FLJ96D 汇总</t>
  </si>
  <si>
    <t>MV270FHB-NF2-4851Q0M01D 汇总</t>
  </si>
  <si>
    <t>MV270FHB-NF2-4851AQM01D 汇总</t>
  </si>
  <si>
    <t>MV270FHB-NF1-4852Q0MC1D 汇总</t>
  </si>
  <si>
    <t>MV270FHB-NF1-4852FMJ97D 汇总</t>
  </si>
  <si>
    <t>MV270FHB-NF1-4852F0J96D 汇总</t>
  </si>
  <si>
    <t>MV270FHB-NF1-4852ASMC1D 汇总</t>
  </si>
  <si>
    <t>MV270FHB-NF1-4852ANMC1D 汇总</t>
  </si>
  <si>
    <t>MV270FHB-NF1-4852ALMC1D 汇总</t>
  </si>
  <si>
    <t>MV270FHB-N42-4944FLJ96D 汇总</t>
  </si>
  <si>
    <t>MV270FHB-N42-4941FLJ96D 汇总</t>
  </si>
  <si>
    <t>MV270FHB-N42-4940FLJ96D 汇总</t>
  </si>
  <si>
    <t>MV270FHB-N42-4851FLJ96D 汇总</t>
  </si>
  <si>
    <t>MV270FHB-N40-494YFLJ96D 汇总</t>
  </si>
  <si>
    <t>MV270FHB-N40-4943FLJ96D 汇总</t>
  </si>
  <si>
    <t>MV240WUM-NX3-4D40TPM02D 汇总</t>
  </si>
  <si>
    <t>MV240WUM-NX3-4D40Q0M02D 汇总</t>
  </si>
  <si>
    <t>MV240WUM-NX3-4D40ANM02D 汇总</t>
  </si>
  <si>
    <t>MV238QHM-NX2-D840FMJ97D 汇总</t>
  </si>
  <si>
    <t>MV238QHM-NX0-485ZFLJ96D 汇总</t>
  </si>
  <si>
    <t>MV238QHB-NX1-4851FLJ96D 汇总</t>
  </si>
  <si>
    <t>MV238QHB-N21-4850FLJ96D 汇总</t>
  </si>
  <si>
    <t>MV238QHB-N13-4851ASMC1D 汇总</t>
  </si>
  <si>
    <t>MV238FHM-NG1-4M50F0J96D 汇总</t>
  </si>
  <si>
    <t>MV238FHM-NG1-4940F0J96D 汇总</t>
  </si>
  <si>
    <t>MV238FHM-NG0-4D40F0J96D 汇总</t>
  </si>
  <si>
    <t>MV238FHM-NG0-4944F0J96D 汇总</t>
  </si>
  <si>
    <t>MV238FHM-N62-4853FLJ96D 汇总</t>
  </si>
  <si>
    <t>MV238FHM-N52-4D50Q0MC1D 汇总</t>
  </si>
  <si>
    <t>MV238FHM-N52-4D50FLJ96D 汇总</t>
  </si>
  <si>
    <t>MV238FHM-N51-4W50F0J96D 汇总</t>
  </si>
  <si>
    <t>MV238FHM-K11-47M1F0J96D 汇总</t>
  </si>
  <si>
    <t>MV238FHM-K10-47M1FLJ96D 汇总</t>
  </si>
  <si>
    <t>MV238FHM-K10-47M0FLJ96D 汇总</t>
  </si>
  <si>
    <t>MV238FHB-NY1-4W50T0M02D 汇总</t>
  </si>
  <si>
    <t>MV238FHB-NX5-D850F0J96D 汇总</t>
  </si>
  <si>
    <t>MV238FHB-NF1-4853Q0M01D 汇总</t>
  </si>
  <si>
    <t>MV238FHB-NF1-4853FMJ97D 汇总</t>
  </si>
  <si>
    <t>MV238FHB-NF1-4853FLJ96D 汇总</t>
  </si>
  <si>
    <t>MV238FHB-NF1-4853F0J96D 汇总</t>
  </si>
  <si>
    <t>MV238FHB-NF1-4853AXM01D 汇总</t>
  </si>
  <si>
    <t>MV238FHB-N53-4W40FLJ96D 汇总</t>
  </si>
  <si>
    <t>MV238FHB-N53-4W40F0J96D 汇总</t>
  </si>
  <si>
    <t>MV238FHB-N52-4D50FLJ96D 汇总</t>
  </si>
  <si>
    <t>MV238FHB-N52-4D50F0J96D 汇总</t>
  </si>
  <si>
    <t>MV238FHB-N51-4W50Q0MC1D 汇总</t>
  </si>
  <si>
    <t>MV238FHB-N51-4W50FLJ96D 汇总</t>
  </si>
  <si>
    <t>MV238FHB-N51-4D51FLJ96D 汇总</t>
  </si>
  <si>
    <t>MV238FHB-N50-4943FLJ96D 汇总</t>
  </si>
  <si>
    <t>MV238FHB-K11-47M0F0J96D 汇总</t>
  </si>
  <si>
    <t>MV238FHB-K11-47M0ASM08D 汇总</t>
  </si>
  <si>
    <t>MV238FHB-K11-47M0ANM08D 汇总</t>
  </si>
  <si>
    <t>MV238FHB-K10-47M5FLJ96D 汇总</t>
  </si>
  <si>
    <t>MV238FHB-K10-47M5F0J96D 汇总</t>
  </si>
  <si>
    <t>MV238FHB-K10-47M5ASM08D 汇总</t>
  </si>
  <si>
    <t>MV238FHB-K10-47M5ANM08D 汇总</t>
  </si>
  <si>
    <t>MV238FHB-K10-47M1T0M01D 汇总</t>
  </si>
  <si>
    <t>MV238FHB-K10-47M1Q0M01D 汇总</t>
  </si>
  <si>
    <t>MV238FHB-K10-47M1FLJ96D 汇总</t>
  </si>
  <si>
    <t>MV238FHB-K10-47M1F0J96D 汇总</t>
  </si>
  <si>
    <t>MV238FHB-K10-47M1ASM08D 汇总</t>
  </si>
  <si>
    <t>MV238FHB-K10-47M1AQM01D 汇总</t>
  </si>
  <si>
    <t>MV238FHB-K10-47M1ANM08D 汇总</t>
  </si>
  <si>
    <t>MV238FHB-K10-47M1ALM01D 汇总</t>
  </si>
  <si>
    <t>MV238FHB-K10-47M1AKM01D 汇总</t>
  </si>
  <si>
    <t>MV238FHB-K10-47M0T0M01D 汇总</t>
  </si>
  <si>
    <t>MV238FHB-K10-47M0Q0M01D 汇总</t>
  </si>
  <si>
    <t>MV238FHB-K10-47M0FLJ96D 汇总</t>
  </si>
  <si>
    <t>MV238FHB-K10-47M0ASM08D 汇总</t>
  </si>
  <si>
    <t>MV238FHB-K10-47M0AQM01D 汇总</t>
  </si>
  <si>
    <t>MV238FHB-K10-47M0ANM08D 汇总</t>
  </si>
  <si>
    <t>MV215FHM-N72-4D41F0J96D 汇总</t>
  </si>
  <si>
    <t>MV215FHB-N40-485VFLJ96D 汇总</t>
  </si>
  <si>
    <t>MV215FHB-N20-48S0F0J96D 汇总</t>
  </si>
  <si>
    <t>EV240WUM-N10-4WS0ASMC1D 汇总</t>
  </si>
  <si>
    <t>DV550FHM-NVK-4WK1AAM06D 汇总</t>
  </si>
  <si>
    <t>DV550FHM-NHT-4WK0QRM06D 汇总</t>
  </si>
  <si>
    <t>DV550FHM-NHT-4WK0ALM06D 汇总</t>
  </si>
  <si>
    <t>DV550FHM-NHT-4WK0A0M06D 汇总</t>
  </si>
  <si>
    <t>DV550FHB-NVM-4WK1Q0M01D 汇总</t>
  </si>
  <si>
    <t>DV550FHB-NVH-4WK2Q0M01D 汇总</t>
  </si>
  <si>
    <t>DV550FHB-NVH-4WK2FLJ96D 汇总</t>
  </si>
  <si>
    <t>DV550FHB-NVH-4WK2F0J97D 汇总</t>
  </si>
  <si>
    <t>DV550FHB-NVH-4WK2F0J96D 汇总</t>
  </si>
  <si>
    <t>DV550FHB-NVH-4MK1Q0MC1D 汇总</t>
  </si>
  <si>
    <t>DV550FHB-NV2-4WK4Q0M01D 汇总</t>
  </si>
  <si>
    <t>DV550FHB-NV2-4WK4FMJ97D 汇总</t>
  </si>
  <si>
    <t>DV550FHB-NV2-4WK4FLJ96D 汇总</t>
  </si>
  <si>
    <t>DV550FHB-NV2-4WK4F0J96D 汇总</t>
  </si>
  <si>
    <t>DV550FHB-NV2-4WK4AXM08D 汇总</t>
  </si>
  <si>
    <t>DV550FHB-NV2-4WK4A0M08D 汇总</t>
  </si>
  <si>
    <t>DV550FHB-NV2-4WK3Q0M06D 汇总</t>
  </si>
  <si>
    <t>DV550FHB-NV2-4WK3F0J96D 汇总</t>
  </si>
  <si>
    <t>DV550FHB-NV2-4WK3A0M08D 汇总</t>
  </si>
  <si>
    <t>DV550FHB-NV1-4WK3FLJ96D 汇总</t>
  </si>
  <si>
    <t>DV550FHB-NV1-4WK3AXM08D 汇总</t>
  </si>
  <si>
    <t>DV550FHB-NV1-4WK3ASM08D 汇总</t>
  </si>
  <si>
    <t>DV550FHB-NV1-4WK3ARM08D 汇总</t>
  </si>
  <si>
    <t>DV550FHB-NV1-4WK3ALM08D 汇总</t>
  </si>
  <si>
    <t>DV550FHB-NV1-4WK2FMJ97D 汇总</t>
  </si>
  <si>
    <t>DV550FHB-NV1-4WK2ARM08D 汇总</t>
  </si>
  <si>
    <t>DV550FHB-NV1-4WK0Q0M01D 汇总</t>
  </si>
  <si>
    <t>DV550FHB-NV1-4WK0FLJ97D 汇总</t>
  </si>
  <si>
    <t>DV550FHB-NV1-4WK0FLJ96D 汇总</t>
  </si>
  <si>
    <t>DV550FHB-NV1-4WK0F0J97D 汇总</t>
  </si>
  <si>
    <t>DV550FHB-NV1-4WK0F0J96D 汇总</t>
  </si>
  <si>
    <t>DV550FHB-NV1-4WK0AXM08D 汇总</t>
  </si>
  <si>
    <t>DV550FHB-NV1-4WK0ASM08D 汇总</t>
  </si>
  <si>
    <t>DV550FHB-NV1-4WK0ALM08D 汇总</t>
  </si>
  <si>
    <t>DV550FHB-NV1-4WK0A0M08D 汇总</t>
  </si>
  <si>
    <t>DV550FHB-NV1-49K2FLJ96D 汇总</t>
  </si>
  <si>
    <t>DV550FHB-NV1-4932FMJ97D 汇总</t>
  </si>
  <si>
    <t>DV490FHB-NV0-4WK1FMJ97D 汇总</t>
  </si>
  <si>
    <t>DV490FHB-NV0-4WK1FLJ96D 汇总</t>
  </si>
  <si>
    <t>DV490FHB-NV0-4WK1F0J96D 汇总</t>
  </si>
  <si>
    <t>DV490FHB-NV0-4WK1AXM08D 汇总</t>
  </si>
  <si>
    <t>DV490FHB-NV0-4WK1ARM08D 汇总</t>
  </si>
  <si>
    <t>DV490FHB-NV0-4WK1ANM08D 汇总</t>
  </si>
  <si>
    <t>DV490FHB-NV0-4WK0QRP16D 汇总</t>
  </si>
  <si>
    <t>DV490FHB-NV0-4WK0FMJ97D 汇总</t>
  </si>
  <si>
    <t>DV490FHB-NV0-4WK0FLJ96D 汇总</t>
  </si>
  <si>
    <t>DV490FHB-NV0-4WK0ARM08D 汇总</t>
  </si>
  <si>
    <t>DV460FHM-NV2-4WK4QRP03D 汇总</t>
  </si>
  <si>
    <t>DV460FHM-NV2-4WK0QRP03D 汇总</t>
  </si>
  <si>
    <t>DV460FHB-NV3-4WK0Q0MC1D 汇总</t>
  </si>
  <si>
    <t>DV460FHB-NV3-4WK0Q0M01D 汇总</t>
  </si>
  <si>
    <t>DV460FHB-NV3-4WK0FLJ96D 汇总</t>
  </si>
  <si>
    <t>DV460FHB-NV3-4WK0F0J96D 汇总</t>
  </si>
  <si>
    <t>DV460FHB-NV2-4WK2FMJ97D 汇总</t>
  </si>
  <si>
    <t>DV460FHB-NV0-4WK3ASM01D 汇总</t>
  </si>
  <si>
    <t>DV460FHB-NV0-4WK0FMJ97D 汇总</t>
  </si>
  <si>
    <t>DV460FHB-NV0-4WK0FLJ96D 汇总</t>
  </si>
  <si>
    <t>DV460FHB-NV0-4WK0F0J96D 汇总</t>
  </si>
  <si>
    <t>DV460FHB-NV0-4WK0AXM08D 汇总</t>
  </si>
  <si>
    <t>DV320FHB-N01-49P0T0M01D 汇总</t>
  </si>
  <si>
    <t>DV320FHB-N01-49P0Q0M01D 汇总</t>
  </si>
  <si>
    <t>DV320FHB-N01-49P0FMJ97D 汇总</t>
  </si>
  <si>
    <t>DV320FHB-N01-49P0FLJ96D 汇总</t>
  </si>
  <si>
    <t>DV320FHB-N01-49P0F0J96D 汇总</t>
  </si>
  <si>
    <t>DV320FHB-N01-49P0AXM01D 汇总</t>
  </si>
  <si>
    <t>DV320FHB-N01-49P0ASM01D 汇总</t>
  </si>
  <si>
    <t>DV320FHB-N01-49P0AQM01D 汇总</t>
  </si>
  <si>
    <t>DV320FHB-N01-49P0ANM01D 汇总</t>
  </si>
  <si>
    <t>DV320FHB-N01-49P0ALM01D 汇总</t>
  </si>
  <si>
    <t>DV320FHB-N01-49P0A0M01D 汇总</t>
  </si>
  <si>
    <t>DV185WHM-NM2-48S0ANMC1D 汇总</t>
  </si>
  <si>
    <t>DV185WHM-NM1-48S0ANMC1D 汇总</t>
  </si>
  <si>
    <t>总计</t>
  </si>
  <si>
    <t>ZV190E0M-N10-4W51Q0J96D 计数</t>
  </si>
  <si>
    <t>MV340VWM-NG0-4D50F0J96D 计数</t>
  </si>
  <si>
    <t>MV270QHM-NF2-4D40F0J96D 计数</t>
  </si>
  <si>
    <t>MV270QHB-NF5-4940Q0MC1D 计数</t>
  </si>
  <si>
    <t>MV270QHB-NF5-4940FMJ97D 计数</t>
  </si>
  <si>
    <t>MV270QHB-NF5-4940FLJ96D 计数</t>
  </si>
  <si>
    <t>MV270QHB-NF5-4940F0J96D 计数</t>
  </si>
  <si>
    <t>MV270QHB-NF5-4940ASM08D 计数</t>
  </si>
  <si>
    <t>MV270QHB-NF5-4940ALMC1D 计数</t>
  </si>
  <si>
    <t>MV270QHB-NF2-4851FLJ96D 计数</t>
  </si>
  <si>
    <t>MV270QHB-N50-4M51FLJ96D 计数</t>
  </si>
  <si>
    <t>MV270FHM-NF2-4D40F0J96D 计数</t>
  </si>
  <si>
    <t>MV270FHM-N42-494ZQ0MC1D 计数</t>
  </si>
  <si>
    <t>MV270FHM-N42-494ZASMC1D 计数</t>
  </si>
  <si>
    <t>MV270FHM-N42-494ZANMC1D 计数</t>
  </si>
  <si>
    <t>MV270FHM-N42-494XFLJ96D 计数</t>
  </si>
  <si>
    <t>MV270FHM-N42-4854F0J96D 计数</t>
  </si>
  <si>
    <t>MV270FHM-N40-4946F0J96D 计数</t>
  </si>
  <si>
    <t>MV270FHB-NX4-4D50F0J96D 计数</t>
  </si>
  <si>
    <t>MV270FHB-NX4-4D50ASM08D 计数</t>
  </si>
  <si>
    <t>MV270FHB-NX4-4D50ANM08D 计数</t>
  </si>
  <si>
    <t>MV270FHB-NX2-4M51FLJ96D 计数</t>
  </si>
  <si>
    <t>MV270FHB-NF5-4D41FLJ96D 计数</t>
  </si>
  <si>
    <t>MV270FHB-NF5-4D40FLJ96D 计数</t>
  </si>
  <si>
    <t>MV270FHB-NF5-4D40ASMC1D 计数</t>
  </si>
  <si>
    <t>MV270FHB-NF5-4D40ANMC1D 计数</t>
  </si>
  <si>
    <t>MV270FHB-NF4-4940FLJ96D 计数</t>
  </si>
  <si>
    <t>MV270FHB-NF3-4850FLJ96D 计数</t>
  </si>
  <si>
    <t>MV270FHB-NF2-4851Q0M01D 计数</t>
  </si>
  <si>
    <t>MV270FHB-NF2-4851AQM01D 计数</t>
  </si>
  <si>
    <t>MV270FHB-NF1-4852Q0MC1D 计数</t>
  </si>
  <si>
    <t>MV270FHB-NF1-4852FMJ97D 计数</t>
  </si>
  <si>
    <t>MV270FHB-NF1-4852F0J96D 计数</t>
  </si>
  <si>
    <t>MV270FHB-NF1-4852ASMC1D 计数</t>
  </si>
  <si>
    <t>MV270FHB-NF1-4852ANMC1D 计数</t>
  </si>
  <si>
    <t>MV270FHB-NF1-4852ALMC1D 计数</t>
  </si>
  <si>
    <t>MV270FHB-N42-4944FLJ96D 计数</t>
  </si>
  <si>
    <t>MV270FHB-N42-4941FLJ96D 计数</t>
  </si>
  <si>
    <t>MV270FHB-N42-4940FLJ96D 计数</t>
  </si>
  <si>
    <t>MV270FHB-N42-4851FLJ96D 计数</t>
  </si>
  <si>
    <t>MV270FHB-N40-494YFLJ96D 计数</t>
  </si>
  <si>
    <t>MV270FHB-N40-4943FLJ96D 计数</t>
  </si>
  <si>
    <t>MV240WUM-NX3-4D40TPM02D 计数</t>
  </si>
  <si>
    <t>MV240WUM-NX3-4D40Q0M02D 计数</t>
  </si>
  <si>
    <t>MV240WUM-NX3-4D40ANM02D 计数</t>
  </si>
  <si>
    <t>MV238QHM-NX2-D840FMJ97D 计数</t>
  </si>
  <si>
    <t>MV238QHM-NX0-485ZFLJ96D 计数</t>
  </si>
  <si>
    <t>MV238QHB-NX1-4851FLJ96D 计数</t>
  </si>
  <si>
    <t>MV238QHB-N21-4850FLJ96D 计数</t>
  </si>
  <si>
    <t>MV238QHB-N13-4851ASMC1D 计数</t>
  </si>
  <si>
    <t>MV238FHM-NG1-4M50F0J96D 计数</t>
  </si>
  <si>
    <t>MV238FHM-NG1-4940F0J96D 计数</t>
  </si>
  <si>
    <t>MV238FHM-NG0-4D40F0J96D 计数</t>
  </si>
  <si>
    <t>MV238FHM-NG0-4944F0J96D 计数</t>
  </si>
  <si>
    <t>MV238FHM-N62-4853FLJ96D 计数</t>
  </si>
  <si>
    <t>MV238FHM-N52-4D50Q0MC1D 计数</t>
  </si>
  <si>
    <t>MV238FHM-N52-4D50FLJ96D 计数</t>
  </si>
  <si>
    <t>MV238FHM-N51-4W50F0J96D 计数</t>
  </si>
  <si>
    <t>MV238FHM-K11-47M1F0J96D 计数</t>
  </si>
  <si>
    <t>MV238FHM-K10-47M1FLJ96D 计数</t>
  </si>
  <si>
    <t>MV238FHM-K10-47M0FLJ96D 计数</t>
  </si>
  <si>
    <t>MV238FHB-NY1-4W50T0M02D 计数</t>
  </si>
  <si>
    <t>MV238FHB-NX5-D850F0J96D 计数</t>
  </si>
  <si>
    <t>MV238FHB-NF1-4853Q0M01D 计数</t>
  </si>
  <si>
    <t>MV238FHB-NF1-4853FMJ97D 计数</t>
  </si>
  <si>
    <t>MV238FHB-NF1-4853FLJ96D 计数</t>
  </si>
  <si>
    <t>MV238FHB-NF1-4853F0J96D 计数</t>
  </si>
  <si>
    <t>MV238FHB-NF1-4853AXM01D 计数</t>
  </si>
  <si>
    <t>MV238FHB-N53-4W40FLJ96D 计数</t>
  </si>
  <si>
    <t>MV238FHB-N53-4W40F0J96D 计数</t>
  </si>
  <si>
    <t>MV238FHB-N52-4D50FLJ96D 计数</t>
  </si>
  <si>
    <t>MV238FHB-N52-4D50F0J96D 计数</t>
  </si>
  <si>
    <t>MV238FHB-N51-4W50Q0MC1D 计数</t>
  </si>
  <si>
    <t>MV238FHB-N51-4W50FLJ96D 计数</t>
  </si>
  <si>
    <t>MV238FHB-N51-4D51FLJ96D 计数</t>
  </si>
  <si>
    <t>MV238FHB-N50-4943FLJ96D 计数</t>
  </si>
  <si>
    <t>MV238FHB-K11-47M0F0J96D 计数</t>
  </si>
  <si>
    <t>MV238FHB-K11-47M0ASM08D 计数</t>
  </si>
  <si>
    <t>MV238FHB-K11-47M0ANM08D 计数</t>
  </si>
  <si>
    <t>MV238FHB-K10-47M5FLJ96D 计数</t>
  </si>
  <si>
    <t>MV238FHB-K10-47M5F0J96D 计数</t>
  </si>
  <si>
    <t>MV238FHB-K10-47M5ASM08D 计数</t>
  </si>
  <si>
    <t>MV238FHB-K10-47M5ANM08D 计数</t>
  </si>
  <si>
    <t>MV238FHB-K10-47M1T0M01D 计数</t>
  </si>
  <si>
    <t>MV238FHB-K10-47M1Q0M01D 计数</t>
  </si>
  <si>
    <t>MV238FHB-K10-47M1FLJ96D 计数</t>
  </si>
  <si>
    <t>MV238FHB-K10-47M1F0J96D 计数</t>
  </si>
  <si>
    <t>MV238FHB-K10-47M1ASM08D 计数</t>
  </si>
  <si>
    <t>MV238FHB-K10-47M1AQM01D 计数</t>
  </si>
  <si>
    <t>MV238FHB-K10-47M1ANM08D 计数</t>
  </si>
  <si>
    <t>MV238FHB-K10-47M1ALM01D 计数</t>
  </si>
  <si>
    <t>MV238FHB-K10-47M1AKM01D 计数</t>
  </si>
  <si>
    <t>MV238FHB-K10-47M0T0M01D 计数</t>
  </si>
  <si>
    <t>MV238FHB-K10-47M0Q0M01D 计数</t>
  </si>
  <si>
    <t>MV238FHB-K10-47M0FLJ96D 计数</t>
  </si>
  <si>
    <t>MV238FHB-K10-47M0ASM08D 计数</t>
  </si>
  <si>
    <t>MV238FHB-K10-47M0AQM01D 计数</t>
  </si>
  <si>
    <t>MV238FHB-K10-47M0ANM08D 计数</t>
  </si>
  <si>
    <t>MV215FHM-N72-4D41F0J96D 计数</t>
  </si>
  <si>
    <t>MV215FHB-N40-485VFLJ96D 计数</t>
  </si>
  <si>
    <t>MV215FHB-N20-48S0F0J96D 计数</t>
  </si>
  <si>
    <t>EV240WUM-N10-4WS0ASMC1D 计数</t>
  </si>
  <si>
    <t>DV550FHM-NVK-4WK1AAM06D 计数</t>
  </si>
  <si>
    <t>DV550FHM-NHT-4WK0QRM06D 计数</t>
  </si>
  <si>
    <t>DV550FHM-NHT-4WK0ALM06D 计数</t>
  </si>
  <si>
    <t>DV550FHM-NHT-4WK0A0M06D 计数</t>
  </si>
  <si>
    <t>DV550FHB-NVM-4WK1Q0M01D 计数</t>
  </si>
  <si>
    <t>DV550FHB-NVH-4WK2Q0M01D 计数</t>
  </si>
  <si>
    <t>DV550FHB-NVH-4WK2FLJ96D 计数</t>
  </si>
  <si>
    <t>DV550FHB-NVH-4WK2F0J97D 计数</t>
  </si>
  <si>
    <t>DV550FHB-NVH-4WK2F0J96D 计数</t>
  </si>
  <si>
    <t>DV550FHB-NVH-4MK1Q0MC1D 计数</t>
  </si>
  <si>
    <t>DV550FHB-NV2-4WK4Q0M01D 计数</t>
  </si>
  <si>
    <t>DV550FHB-NV2-4WK4FMJ97D 计数</t>
  </si>
  <si>
    <t>DV550FHB-NV2-4WK4FLJ96D 计数</t>
  </si>
  <si>
    <t>DV550FHB-NV2-4WK4F0J96D 计数</t>
  </si>
  <si>
    <t>DV550FHB-NV2-4WK4AXM08D 计数</t>
  </si>
  <si>
    <t>DV550FHB-NV2-4WK4A0M08D 计数</t>
  </si>
  <si>
    <t>DV550FHB-NV2-4WK3Q0M06D 计数</t>
  </si>
  <si>
    <t>DV550FHB-NV2-4WK3F0J96D 计数</t>
  </si>
  <si>
    <t>DV550FHB-NV2-4WK3A0M08D 计数</t>
  </si>
  <si>
    <t>DV550FHB-NV1-4WK3FLJ96D 计数</t>
  </si>
  <si>
    <t>DV550FHB-NV1-4WK3AXM08D 计数</t>
  </si>
  <si>
    <t>DV550FHB-NV1-4WK3ASM08D 计数</t>
  </si>
  <si>
    <t>DV550FHB-NV1-4WK3ARM08D 计数</t>
  </si>
  <si>
    <t>DV550FHB-NV1-4WK3ALM08D 计数</t>
  </si>
  <si>
    <t>DV550FHB-NV1-4WK2FMJ97D 计数</t>
  </si>
  <si>
    <t>DV550FHB-NV1-4WK2ARM08D 计数</t>
  </si>
  <si>
    <t>DV550FHB-NV1-4WK0Q0M01D 计数</t>
  </si>
  <si>
    <t>DV550FHB-NV1-4WK0FLJ97D 计数</t>
  </si>
  <si>
    <t>DV550FHB-NV1-4WK0FLJ96D 计数</t>
  </si>
  <si>
    <t>DV550FHB-NV1-4WK0F0J97D 计数</t>
  </si>
  <si>
    <t>DV550FHB-NV1-4WK0F0J96D 计数</t>
  </si>
  <si>
    <t>DV550FHB-NV1-4WK0AXM08D 计数</t>
  </si>
  <si>
    <t>DV550FHB-NV1-4WK0ASM08D 计数</t>
  </si>
  <si>
    <t>DV550FHB-NV1-4WK0ALM08D 计数</t>
  </si>
  <si>
    <t>DV550FHB-NV1-4WK0A0M08D 计数</t>
  </si>
  <si>
    <t>DV550FHB-NV1-49K2FLJ96D 计数</t>
  </si>
  <si>
    <t>DV550FHB-NV1-4932FMJ97D 计数</t>
  </si>
  <si>
    <t>DV490FHB-NV0-4WK1FMJ97D 计数</t>
  </si>
  <si>
    <t>DV490FHB-NV0-4WK1FLJ96D 计数</t>
  </si>
  <si>
    <t>DV490FHB-NV0-4WK1F0J96D 计数</t>
  </si>
  <si>
    <t>DV490FHB-NV0-4WK1AXM08D 计数</t>
  </si>
  <si>
    <t>DV490FHB-NV0-4WK1ARM08D 计数</t>
  </si>
  <si>
    <t>DV490FHB-NV0-4WK1ANM08D 计数</t>
  </si>
  <si>
    <t>DV490FHB-NV0-4WK0QRP16D 计数</t>
  </si>
  <si>
    <t>DV490FHB-NV0-4WK0FMJ97D 计数</t>
  </si>
  <si>
    <t>DV490FHB-NV0-4WK0FLJ96D 计数</t>
  </si>
  <si>
    <t>DV490FHB-NV0-4WK0ARM08D 计数</t>
  </si>
  <si>
    <t>DV460FHM-NV2-4WK4QRP03D 计数</t>
  </si>
  <si>
    <t>DV460FHM-NV2-4WK0QRP03D 计数</t>
  </si>
  <si>
    <t>DV460FHB-NV3-4WK0Q0MC1D 计数</t>
  </si>
  <si>
    <t>DV460FHB-NV3-4WK0Q0M01D 计数</t>
  </si>
  <si>
    <t>DV460FHB-NV3-4WK0FLJ96D 计数</t>
  </si>
  <si>
    <t>DV460FHB-NV3-4WK0F0J96D 计数</t>
  </si>
  <si>
    <t>DV460FHB-NV2-4WK2FMJ97D 计数</t>
  </si>
  <si>
    <t>DV460FHB-NV0-4WK3ASM01D 计数</t>
  </si>
  <si>
    <t>DV460FHB-NV0-4WK0FMJ97D 计数</t>
  </si>
  <si>
    <t>DV460FHB-NV0-4WK0FLJ96D 计数</t>
  </si>
  <si>
    <t>DV460FHB-NV0-4WK0F0J96D 计数</t>
  </si>
  <si>
    <t>DV460FHB-NV0-4WK0AXM08D 计数</t>
  </si>
  <si>
    <t>DV320FHB-N01-49P0T0M01D 计数</t>
  </si>
  <si>
    <t>DV320FHB-N01-49P0Q0M01D 计数</t>
  </si>
  <si>
    <t>DV320FHB-N01-49P0FMJ97D 计数</t>
  </si>
  <si>
    <t>DV320FHB-N01-49P0FLJ96D 计数</t>
  </si>
  <si>
    <t>DV320FHB-N01-49P0F0J96D 计数</t>
  </si>
  <si>
    <t>DV320FHB-N01-49P0AXM01D 计数</t>
  </si>
  <si>
    <t>DV320FHB-N01-49P0ASM01D 计数</t>
  </si>
  <si>
    <t>DV320FHB-N01-49P0AQM01D 计数</t>
  </si>
  <si>
    <t>DV320FHB-N01-49P0ANM01D 计数</t>
  </si>
  <si>
    <t>DV320FHB-N01-49P0ALM01D 计数</t>
  </si>
  <si>
    <t>DV320FHB-N01-49P0A0M01D 计数</t>
  </si>
  <si>
    <t>DV185WHM-NM2-48S0ANMC1D 计数</t>
  </si>
  <si>
    <t>DV185WHM-NM1-48S0ANMC1D 计数</t>
  </si>
  <si>
    <t>总计数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</si>
</sst>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u/>
      <sz val="11"/>
      <color theme="1"/>
      <name val="等线"/>
      <family val="2"/>
      <scheme val="minor"/>
    </font>
    <font>
      <strike/>
      <sz val="11"/>
      <color theme="1"/>
      <name val="等线"/>
      <family val="2"/>
      <scheme val="minor"/>
    </font>
    <font>
      <sz val="11"/>
      <color rgb="FFFF0000"/>
      <name val="等线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4" fillId="0" borderId="0" xfId="0" applyFont="1"/>
  </cellXfs>
  <cellStyles count="1">
    <cellStyle name="常规" xfId="0" builtinId="0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"/>
  <ax:ocxPr ax:name="ForeColor" ax:value="0"/>
  <ax:ocxPr ax:name="BackColor" ax:value="16777215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20</xdr:row>
          <xdr:rowOff>123825</xdr:rowOff>
        </xdr:from>
        <xdr:to>
          <xdr:col>9</xdr:col>
          <xdr:colOff>600075</xdr:colOff>
          <xdr:row>26</xdr:row>
          <xdr:rowOff>114300</xdr:rowOff>
        </xdr:to>
        <xdr:sp macro="" textlink="">
          <xdr:nvSpPr>
            <xdr:cNvPr id="1028" name="BarCodeCtrl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表2" displayName="表2" ref="B2:F5" totalsRowShown="0">
  <autoFilter ref="B2:F5"/>
  <tableColumns count="5">
    <tableColumn id="1" name="列1"/>
    <tableColumn id="2" name="列2"/>
    <tableColumn id="3" name="列3"/>
    <tableColumn id="4" name="列4"/>
    <tableColumn id="5" name="列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K31"/>
  <sheetViews>
    <sheetView workbookViewId="0">
      <selection activeCell="C21" sqref="A1:XFD1048576"/>
    </sheetView>
  </sheetViews>
  <sheetFormatPr defaultRowHeight="13.5"/>
  <sheetData>
    <row r="1" spans="2:11">
      <c r="B1" t="s">
        <v>12</v>
      </c>
      <c r="C1" t="s">
        <v>13</v>
      </c>
      <c r="D1" t="s">
        <v>14</v>
      </c>
      <c r="G1" t="s">
        <v>10</v>
      </c>
      <c r="H1">
        <v>83</v>
      </c>
      <c r="I1">
        <v>13</v>
      </c>
      <c r="K1">
        <v>83</v>
      </c>
    </row>
    <row r="2" spans="2:11">
      <c r="B2" t="s">
        <v>10</v>
      </c>
      <c r="C2">
        <f ca="1">RANDBETWEEN(60,100)</f>
        <v>94</v>
      </c>
      <c r="D2">
        <v>1</v>
      </c>
      <c r="G2" t="s">
        <v>10</v>
      </c>
      <c r="H2">
        <v>88</v>
      </c>
      <c r="I2">
        <v>16</v>
      </c>
      <c r="K2">
        <v>88</v>
      </c>
    </row>
    <row r="3" spans="2:11">
      <c r="B3" t="s">
        <v>10</v>
      </c>
      <c r="C3" s="9">
        <v>64</v>
      </c>
      <c r="D3">
        <v>2</v>
      </c>
      <c r="G3" t="s">
        <v>10</v>
      </c>
      <c r="H3">
        <v>83</v>
      </c>
      <c r="I3">
        <v>17</v>
      </c>
      <c r="K3">
        <v>83</v>
      </c>
    </row>
    <row r="4" spans="2:11">
      <c r="B4" t="s">
        <v>11</v>
      </c>
      <c r="C4">
        <v>67</v>
      </c>
      <c r="D4">
        <v>3</v>
      </c>
      <c r="G4" t="s">
        <v>11</v>
      </c>
      <c r="H4" s="7">
        <v>88</v>
      </c>
      <c r="I4">
        <v>19</v>
      </c>
      <c r="K4" s="7">
        <v>88</v>
      </c>
    </row>
    <row r="5" spans="2:11">
      <c r="B5" t="s">
        <v>10</v>
      </c>
      <c r="C5">
        <v>51</v>
      </c>
      <c r="D5">
        <v>4</v>
      </c>
      <c r="G5" t="s">
        <v>11</v>
      </c>
      <c r="H5" s="7">
        <v>88</v>
      </c>
      <c r="I5">
        <v>19</v>
      </c>
    </row>
    <row r="6" spans="2:11">
      <c r="B6" t="s">
        <v>10</v>
      </c>
      <c r="C6" s="6">
        <v>51</v>
      </c>
      <c r="D6">
        <v>5</v>
      </c>
    </row>
    <row r="7" spans="2:11">
      <c r="B7" t="s">
        <v>10</v>
      </c>
      <c r="C7">
        <v>78</v>
      </c>
      <c r="D7">
        <v>6</v>
      </c>
    </row>
    <row r="8" spans="2:11">
      <c r="B8" t="s">
        <v>11</v>
      </c>
      <c r="C8">
        <v>35</v>
      </c>
      <c r="D8">
        <v>7</v>
      </c>
    </row>
    <row r="9" spans="2:11">
      <c r="B9" t="s">
        <v>10</v>
      </c>
      <c r="C9">
        <v>77</v>
      </c>
      <c r="D9">
        <v>8</v>
      </c>
    </row>
    <row r="10" spans="2:11">
      <c r="B10" t="s">
        <v>10</v>
      </c>
      <c r="C10">
        <v>80</v>
      </c>
      <c r="D10">
        <v>9</v>
      </c>
    </row>
    <row r="11" spans="2:11">
      <c r="B11" t="s">
        <v>10</v>
      </c>
      <c r="C11" s="6">
        <v>74</v>
      </c>
      <c r="D11">
        <v>10</v>
      </c>
    </row>
    <row r="12" spans="2:11">
      <c r="B12" t="s">
        <v>11</v>
      </c>
      <c r="C12">
        <v>37</v>
      </c>
      <c r="D12">
        <v>11</v>
      </c>
    </row>
    <row r="13" spans="2:11">
      <c r="B13" t="s">
        <v>10</v>
      </c>
      <c r="C13" s="9">
        <v>58</v>
      </c>
      <c r="D13">
        <v>12</v>
      </c>
    </row>
    <row r="14" spans="2:11">
      <c r="B14" t="s">
        <v>10</v>
      </c>
      <c r="C14">
        <v>83</v>
      </c>
      <c r="D14">
        <v>13</v>
      </c>
    </row>
    <row r="15" spans="2:11">
      <c r="B15" t="s">
        <v>10</v>
      </c>
      <c r="C15">
        <v>79</v>
      </c>
      <c r="D15">
        <v>14</v>
      </c>
    </row>
    <row r="16" spans="2:11">
      <c r="B16" t="s">
        <v>11</v>
      </c>
      <c r="C16" s="7">
        <v>55</v>
      </c>
      <c r="D16">
        <v>15</v>
      </c>
    </row>
    <row r="17" spans="2:7">
      <c r="B17" t="s">
        <v>10</v>
      </c>
      <c r="C17">
        <v>88</v>
      </c>
      <c r="D17">
        <v>16</v>
      </c>
    </row>
    <row r="18" spans="2:7">
      <c r="B18" t="s">
        <v>10</v>
      </c>
      <c r="C18">
        <v>83</v>
      </c>
      <c r="D18">
        <v>17</v>
      </c>
    </row>
    <row r="19" spans="2:7">
      <c r="B19" t="s">
        <v>10</v>
      </c>
      <c r="C19">
        <v>38</v>
      </c>
      <c r="D19">
        <v>18</v>
      </c>
    </row>
    <row r="20" spans="2:7">
      <c r="B20" t="s">
        <v>11</v>
      </c>
      <c r="C20" s="7">
        <v>88</v>
      </c>
      <c r="D20">
        <v>19</v>
      </c>
    </row>
    <row r="21" spans="2:7">
      <c r="B21" t="s">
        <v>10</v>
      </c>
      <c r="D21">
        <v>20</v>
      </c>
    </row>
    <row r="22" spans="2:7">
      <c r="B22" t="s">
        <v>10</v>
      </c>
      <c r="C22">
        <v>64</v>
      </c>
      <c r="D22">
        <v>21</v>
      </c>
    </row>
    <row r="23" spans="2:7">
      <c r="B23" t="s">
        <v>10</v>
      </c>
      <c r="C23">
        <v>77</v>
      </c>
      <c r="D23">
        <v>22</v>
      </c>
    </row>
    <row r="24" spans="2:7">
      <c r="B24" t="s">
        <v>11</v>
      </c>
      <c r="C24">
        <v>37</v>
      </c>
      <c r="D24">
        <v>23</v>
      </c>
    </row>
    <row r="25" spans="2:7">
      <c r="B25" t="s">
        <v>10</v>
      </c>
      <c r="C25">
        <v>68</v>
      </c>
      <c r="D25">
        <v>24</v>
      </c>
    </row>
    <row r="31" spans="2:7">
      <c r="G31" s="8"/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8"/>
  <sheetViews>
    <sheetView workbookViewId="0">
      <selection activeCell="C12" sqref="C12"/>
    </sheetView>
  </sheetViews>
  <sheetFormatPr defaultRowHeight="13.5"/>
  <sheetData>
    <row r="1" spans="1:6">
      <c r="A1" s="5"/>
      <c r="B1" t="s">
        <v>8</v>
      </c>
      <c r="C1" t="s">
        <v>7</v>
      </c>
    </row>
    <row r="2" spans="1:6">
      <c r="B2" t="s">
        <v>0</v>
      </c>
      <c r="C2" t="s">
        <v>1</v>
      </c>
      <c r="D2" t="s">
        <v>2</v>
      </c>
      <c r="E2" t="s">
        <v>3</v>
      </c>
      <c r="F2" t="s">
        <v>4</v>
      </c>
    </row>
    <row r="3" spans="1:6">
      <c r="B3">
        <v>1</v>
      </c>
      <c r="C3">
        <v>2</v>
      </c>
      <c r="D3">
        <v>3</v>
      </c>
      <c r="E3">
        <f>SUM(B3:D3)</f>
        <v>6</v>
      </c>
    </row>
    <row r="9" spans="1:6">
      <c r="C9" s="1">
        <v>7897</v>
      </c>
    </row>
    <row r="13" spans="1:6" ht="27">
      <c r="C13" s="2"/>
      <c r="F13" s="3" t="s">
        <v>5</v>
      </c>
    </row>
    <row r="17" spans="1:7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</row>
    <row r="18" spans="1:7">
      <c r="A18">
        <v>1</v>
      </c>
    </row>
    <row r="19" spans="1:7">
      <c r="A19">
        <v>1</v>
      </c>
    </row>
    <row r="20" spans="1:7">
      <c r="A20">
        <v>1</v>
      </c>
      <c r="G20" t="s">
        <v>6</v>
      </c>
    </row>
    <row r="21" spans="1:7">
      <c r="A21">
        <v>1</v>
      </c>
    </row>
    <row r="22" spans="1:7">
      <c r="A22">
        <v>1</v>
      </c>
    </row>
    <row r="23" spans="1:7">
      <c r="A23">
        <v>1</v>
      </c>
    </row>
    <row r="24" spans="1:7">
      <c r="A24">
        <v>1</v>
      </c>
    </row>
    <row r="25" spans="1:7">
      <c r="A25">
        <v>1</v>
      </c>
    </row>
    <row r="28" spans="1:7">
      <c r="D28">
        <v>1</v>
      </c>
      <c r="E28">
        <v>2</v>
      </c>
    </row>
  </sheetData>
  <phoneticPr fontId="1" type="noConversion"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6"/>
  <sheetViews>
    <sheetView workbookViewId="0">
      <selection activeCell="G22" sqref="G22"/>
    </sheetView>
  </sheetViews>
  <sheetFormatPr defaultRowHeight="13.5"/>
  <sheetData>
    <row r="1" spans="1:7">
      <c r="A1" s="5"/>
      <c r="B1" t="s">
        <v>9</v>
      </c>
    </row>
    <row r="11" spans="1:7">
      <c r="C11">
        <v>1</v>
      </c>
      <c r="D11">
        <v>1</v>
      </c>
      <c r="E11">
        <v>1</v>
      </c>
    </row>
    <row r="12" spans="1:7">
      <c r="C12">
        <v>1</v>
      </c>
      <c r="D12">
        <v>1</v>
      </c>
      <c r="E12">
        <v>1</v>
      </c>
    </row>
    <row r="13" spans="1:7">
      <c r="C13">
        <v>1</v>
      </c>
      <c r="D13">
        <v>1</v>
      </c>
      <c r="E13">
        <v>1</v>
      </c>
    </row>
    <row r="14" spans="1:7">
      <c r="C14">
        <v>1</v>
      </c>
      <c r="D14">
        <v>1</v>
      </c>
      <c r="E14">
        <v>1</v>
      </c>
    </row>
    <row r="15" spans="1:7">
      <c r="C15">
        <v>1</v>
      </c>
      <c r="D15">
        <v>1</v>
      </c>
      <c r="E15">
        <v>1</v>
      </c>
    </row>
    <row r="16" spans="1:7">
      <c r="G16" s="4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C14" sqref="C14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B1:N59"/>
  <sheetViews>
    <sheetView workbookViewId="0">
      <selection activeCell="B2" sqref="B2:D20 B22:D25"/>
    </sheetView>
  </sheetViews>
  <sheetFormatPr defaultRowHeight="13.5"/>
  <sheetData>
    <row r="1" spans="2:8">
      <c r="B1" t="s">
        <v>15</v>
      </c>
      <c r="C1" t="s">
        <v>16</v>
      </c>
      <c r="D1" t="s">
        <v>17</v>
      </c>
      <c r="F1" t="s">
        <v>15</v>
      </c>
      <c r="G1" t="s">
        <v>16</v>
      </c>
      <c r="H1" t="s">
        <v>17</v>
      </c>
    </row>
    <row r="2" spans="2:8">
      <c r="B2" t="s">
        <v>18</v>
      </c>
      <c r="C2">
        <v>64</v>
      </c>
      <c r="D2">
        <v>1</v>
      </c>
      <c r="F2" t="s">
        <v>18</v>
      </c>
      <c r="G2">
        <v>64</v>
      </c>
      <c r="H2">
        <v>1</v>
      </c>
    </row>
    <row r="3" spans="2:8">
      <c r="B3" t="s">
        <v>18</v>
      </c>
      <c r="C3">
        <v>64</v>
      </c>
      <c r="D3">
        <v>2</v>
      </c>
      <c r="F3" t="s">
        <v>18</v>
      </c>
      <c r="G3">
        <v>64</v>
      </c>
      <c r="H3">
        <v>2</v>
      </c>
    </row>
    <row r="4" spans="2:8">
      <c r="B4" t="s">
        <v>19</v>
      </c>
      <c r="C4">
        <v>67</v>
      </c>
      <c r="D4">
        <v>3</v>
      </c>
      <c r="F4" t="s">
        <v>19</v>
      </c>
      <c r="G4">
        <v>67</v>
      </c>
      <c r="H4">
        <v>3</v>
      </c>
    </row>
    <row r="5" spans="2:8">
      <c r="B5" t="s">
        <v>18</v>
      </c>
      <c r="C5">
        <v>51</v>
      </c>
      <c r="D5">
        <v>4</v>
      </c>
      <c r="F5" t="s">
        <v>18</v>
      </c>
      <c r="G5">
        <v>51</v>
      </c>
      <c r="H5">
        <v>4</v>
      </c>
    </row>
    <row r="6" spans="2:8">
      <c r="B6" t="s">
        <v>18</v>
      </c>
      <c r="C6">
        <v>51</v>
      </c>
      <c r="D6">
        <v>5</v>
      </c>
      <c r="F6" t="s">
        <v>18</v>
      </c>
      <c r="G6">
        <v>51</v>
      </c>
      <c r="H6">
        <v>5</v>
      </c>
    </row>
    <row r="7" spans="2:8">
      <c r="B7" t="s">
        <v>18</v>
      </c>
      <c r="C7">
        <v>78</v>
      </c>
      <c r="D7">
        <v>6</v>
      </c>
      <c r="F7" t="s">
        <v>18</v>
      </c>
      <c r="G7">
        <v>78</v>
      </c>
      <c r="H7">
        <v>6</v>
      </c>
    </row>
    <row r="8" spans="2:8">
      <c r="B8" t="s">
        <v>19</v>
      </c>
      <c r="C8">
        <v>35</v>
      </c>
      <c r="D8">
        <v>7</v>
      </c>
      <c r="F8" t="s">
        <v>19</v>
      </c>
      <c r="G8">
        <v>35</v>
      </c>
      <c r="H8">
        <v>7</v>
      </c>
    </row>
    <row r="9" spans="2:8">
      <c r="B9" t="s">
        <v>18</v>
      </c>
      <c r="C9">
        <v>77</v>
      </c>
      <c r="D9">
        <v>8</v>
      </c>
      <c r="F9" t="s">
        <v>18</v>
      </c>
      <c r="G9">
        <v>77</v>
      </c>
      <c r="H9">
        <v>8</v>
      </c>
    </row>
    <row r="10" spans="2:8">
      <c r="B10" t="s">
        <v>18</v>
      </c>
      <c r="C10">
        <v>80</v>
      </c>
      <c r="D10">
        <v>9</v>
      </c>
      <c r="F10" t="s">
        <v>18</v>
      </c>
      <c r="G10">
        <v>80</v>
      </c>
      <c r="H10">
        <v>9</v>
      </c>
    </row>
    <row r="11" spans="2:8">
      <c r="B11" t="s">
        <v>18</v>
      </c>
      <c r="C11">
        <v>74</v>
      </c>
      <c r="D11">
        <v>10</v>
      </c>
      <c r="F11" t="s">
        <v>18</v>
      </c>
      <c r="G11">
        <v>74</v>
      </c>
      <c r="H11">
        <v>10</v>
      </c>
    </row>
    <row r="12" spans="2:8">
      <c r="B12" t="s">
        <v>19</v>
      </c>
      <c r="C12">
        <v>37</v>
      </c>
      <c r="D12">
        <v>11</v>
      </c>
      <c r="F12" t="s">
        <v>19</v>
      </c>
      <c r="G12">
        <v>37</v>
      </c>
      <c r="H12">
        <v>11</v>
      </c>
    </row>
    <row r="13" spans="2:8">
      <c r="B13" t="s">
        <v>18</v>
      </c>
      <c r="C13">
        <v>58</v>
      </c>
      <c r="D13">
        <v>12</v>
      </c>
      <c r="F13" t="s">
        <v>18</v>
      </c>
      <c r="G13">
        <v>58</v>
      </c>
      <c r="H13">
        <v>12</v>
      </c>
    </row>
    <row r="14" spans="2:8">
      <c r="B14" t="s">
        <v>18</v>
      </c>
      <c r="C14">
        <v>83</v>
      </c>
      <c r="D14">
        <v>13</v>
      </c>
      <c r="F14" t="s">
        <v>18</v>
      </c>
      <c r="G14">
        <v>83</v>
      </c>
      <c r="H14">
        <v>13</v>
      </c>
    </row>
    <row r="15" spans="2:8">
      <c r="B15" t="s">
        <v>18</v>
      </c>
      <c r="C15">
        <v>79</v>
      </c>
      <c r="D15">
        <v>14</v>
      </c>
      <c r="F15" t="s">
        <v>18</v>
      </c>
      <c r="G15">
        <v>79</v>
      </c>
      <c r="H15">
        <v>14</v>
      </c>
    </row>
    <row r="16" spans="2:8">
      <c r="B16" t="s">
        <v>19</v>
      </c>
      <c r="C16">
        <v>55</v>
      </c>
      <c r="D16">
        <v>15</v>
      </c>
      <c r="F16" t="s">
        <v>19</v>
      </c>
      <c r="G16">
        <v>55</v>
      </c>
      <c r="H16">
        <v>15</v>
      </c>
    </row>
    <row r="17" spans="2:14">
      <c r="B17" t="s">
        <v>18</v>
      </c>
      <c r="C17">
        <v>88</v>
      </c>
      <c r="D17">
        <v>16</v>
      </c>
      <c r="F17" t="s">
        <v>18</v>
      </c>
      <c r="G17">
        <v>88</v>
      </c>
      <c r="H17">
        <v>16</v>
      </c>
    </row>
    <row r="18" spans="2:14">
      <c r="B18" t="s">
        <v>18</v>
      </c>
      <c r="C18">
        <v>83</v>
      </c>
      <c r="D18">
        <v>17</v>
      </c>
      <c r="F18" t="s">
        <v>18</v>
      </c>
      <c r="G18">
        <v>83</v>
      </c>
      <c r="H18">
        <v>17</v>
      </c>
    </row>
    <row r="19" spans="2:14">
      <c r="B19" t="s">
        <v>18</v>
      </c>
      <c r="C19">
        <v>38</v>
      </c>
      <c r="D19">
        <v>18</v>
      </c>
      <c r="F19" t="s">
        <v>18</v>
      </c>
      <c r="G19">
        <v>38</v>
      </c>
      <c r="H19">
        <v>18</v>
      </c>
    </row>
    <row r="20" spans="2:14">
      <c r="B20" t="s">
        <v>19</v>
      </c>
      <c r="C20">
        <v>88</v>
      </c>
      <c r="D20">
        <v>19</v>
      </c>
      <c r="F20" t="s">
        <v>19</v>
      </c>
      <c r="G20">
        <v>88</v>
      </c>
      <c r="H20">
        <v>19</v>
      </c>
    </row>
    <row r="21" spans="2:14" hidden="1">
      <c r="B21" t="s">
        <v>18</v>
      </c>
      <c r="D21">
        <v>20</v>
      </c>
      <c r="F21" t="s">
        <v>18</v>
      </c>
      <c r="G21">
        <v>64</v>
      </c>
      <c r="H21">
        <v>21</v>
      </c>
      <c r="L21" t="s">
        <v>18</v>
      </c>
      <c r="M21">
        <v>64</v>
      </c>
      <c r="N21">
        <v>21</v>
      </c>
    </row>
    <row r="22" spans="2:14">
      <c r="B22" t="s">
        <v>18</v>
      </c>
      <c r="C22">
        <v>64</v>
      </c>
      <c r="D22">
        <v>21</v>
      </c>
      <c r="F22" t="s">
        <v>18</v>
      </c>
      <c r="G22">
        <v>77</v>
      </c>
      <c r="H22">
        <v>22</v>
      </c>
    </row>
    <row r="23" spans="2:14">
      <c r="B23" t="s">
        <v>18</v>
      </c>
      <c r="C23">
        <v>77</v>
      </c>
      <c r="D23">
        <v>22</v>
      </c>
      <c r="F23" t="s">
        <v>19</v>
      </c>
      <c r="G23">
        <v>37</v>
      </c>
      <c r="H23">
        <v>23</v>
      </c>
    </row>
    <row r="24" spans="2:14">
      <c r="B24" t="s">
        <v>19</v>
      </c>
      <c r="C24">
        <v>37</v>
      </c>
      <c r="D24">
        <v>23</v>
      </c>
      <c r="F24" t="s">
        <v>18</v>
      </c>
      <c r="G24">
        <v>68</v>
      </c>
      <c r="H24">
        <v>24</v>
      </c>
    </row>
    <row r="25" spans="2:14">
      <c r="B25" t="s">
        <v>18</v>
      </c>
      <c r="C25">
        <v>68</v>
      </c>
      <c r="D25">
        <v>24</v>
      </c>
    </row>
    <row r="32" spans="2:14">
      <c r="L32" t="s">
        <v>17</v>
      </c>
    </row>
    <row r="33" spans="6:12">
      <c r="L33">
        <v>1</v>
      </c>
    </row>
    <row r="34" spans="6:12">
      <c r="L34">
        <v>2</v>
      </c>
    </row>
    <row r="35" spans="6:12">
      <c r="L35">
        <v>3</v>
      </c>
    </row>
    <row r="36" spans="6:12">
      <c r="F36" t="s">
        <v>15</v>
      </c>
      <c r="G36" t="s">
        <v>16</v>
      </c>
      <c r="H36" t="s">
        <v>17</v>
      </c>
      <c r="L36">
        <v>4</v>
      </c>
    </row>
    <row r="37" spans="6:12">
      <c r="F37" t="s">
        <v>18</v>
      </c>
      <c r="G37">
        <v>64</v>
      </c>
      <c r="H37">
        <v>1</v>
      </c>
      <c r="L37">
        <v>5</v>
      </c>
    </row>
    <row r="38" spans="6:12">
      <c r="F38" t="s">
        <v>18</v>
      </c>
      <c r="G38">
        <v>64</v>
      </c>
      <c r="H38">
        <v>2</v>
      </c>
      <c r="L38">
        <v>6</v>
      </c>
    </row>
    <row r="39" spans="6:12">
      <c r="F39" t="s">
        <v>19</v>
      </c>
      <c r="G39">
        <v>67</v>
      </c>
      <c r="H39">
        <v>3</v>
      </c>
      <c r="L39">
        <v>7</v>
      </c>
    </row>
    <row r="40" spans="6:12">
      <c r="F40" t="s">
        <v>18</v>
      </c>
      <c r="G40">
        <v>51</v>
      </c>
      <c r="H40">
        <v>4</v>
      </c>
      <c r="L40">
        <v>8</v>
      </c>
    </row>
    <row r="41" spans="6:12">
      <c r="F41" t="s">
        <v>18</v>
      </c>
      <c r="G41">
        <v>51</v>
      </c>
      <c r="H41">
        <v>5</v>
      </c>
      <c r="L41">
        <v>9</v>
      </c>
    </row>
    <row r="42" spans="6:12">
      <c r="F42" t="s">
        <v>18</v>
      </c>
      <c r="G42">
        <v>78</v>
      </c>
      <c r="H42">
        <v>6</v>
      </c>
      <c r="L42">
        <v>10</v>
      </c>
    </row>
    <row r="43" spans="6:12">
      <c r="F43" t="s">
        <v>19</v>
      </c>
      <c r="G43">
        <v>35</v>
      </c>
      <c r="H43">
        <v>7</v>
      </c>
      <c r="L43">
        <v>11</v>
      </c>
    </row>
    <row r="44" spans="6:12">
      <c r="F44" t="s">
        <v>18</v>
      </c>
      <c r="G44">
        <v>77</v>
      </c>
      <c r="H44">
        <v>8</v>
      </c>
      <c r="L44">
        <v>12</v>
      </c>
    </row>
    <row r="45" spans="6:12">
      <c r="F45" t="s">
        <v>18</v>
      </c>
      <c r="G45">
        <v>80</v>
      </c>
      <c r="H45">
        <v>9</v>
      </c>
      <c r="L45">
        <v>13</v>
      </c>
    </row>
    <row r="46" spans="6:12">
      <c r="F46" t="s">
        <v>18</v>
      </c>
      <c r="G46">
        <v>74</v>
      </c>
      <c r="H46">
        <v>10</v>
      </c>
      <c r="L46">
        <v>14</v>
      </c>
    </row>
    <row r="47" spans="6:12">
      <c r="F47" t="s">
        <v>19</v>
      </c>
      <c r="G47">
        <v>37</v>
      </c>
      <c r="H47">
        <v>11</v>
      </c>
      <c r="L47">
        <v>15</v>
      </c>
    </row>
    <row r="48" spans="6:12">
      <c r="F48" t="s">
        <v>18</v>
      </c>
      <c r="G48">
        <v>58</v>
      </c>
      <c r="H48">
        <v>12</v>
      </c>
      <c r="L48">
        <v>16</v>
      </c>
    </row>
    <row r="49" spans="6:12">
      <c r="F49" t="s">
        <v>18</v>
      </c>
      <c r="G49">
        <v>83</v>
      </c>
      <c r="H49">
        <v>13</v>
      </c>
      <c r="L49">
        <v>17</v>
      </c>
    </row>
    <row r="50" spans="6:12">
      <c r="F50" t="s">
        <v>18</v>
      </c>
      <c r="G50">
        <v>79</v>
      </c>
      <c r="H50">
        <v>14</v>
      </c>
      <c r="L50">
        <v>18</v>
      </c>
    </row>
    <row r="51" spans="6:12">
      <c r="F51" t="s">
        <v>19</v>
      </c>
      <c r="G51">
        <v>55</v>
      </c>
      <c r="H51">
        <v>15</v>
      </c>
      <c r="L51">
        <v>19</v>
      </c>
    </row>
    <row r="52" spans="6:12">
      <c r="F52" t="s">
        <v>18</v>
      </c>
      <c r="G52">
        <v>88</v>
      </c>
      <c r="H52">
        <v>16</v>
      </c>
      <c r="L52">
        <v>21</v>
      </c>
    </row>
    <row r="53" spans="6:12">
      <c r="F53" t="s">
        <v>18</v>
      </c>
      <c r="G53">
        <v>83</v>
      </c>
      <c r="H53">
        <v>17</v>
      </c>
      <c r="L53">
        <v>22</v>
      </c>
    </row>
    <row r="54" spans="6:12">
      <c r="F54" t="s">
        <v>18</v>
      </c>
      <c r="G54">
        <v>38</v>
      </c>
      <c r="H54">
        <v>18</v>
      </c>
      <c r="L54">
        <v>23</v>
      </c>
    </row>
    <row r="55" spans="6:12">
      <c r="F55" t="s">
        <v>19</v>
      </c>
      <c r="G55">
        <v>88</v>
      </c>
      <c r="H55">
        <v>19</v>
      </c>
      <c r="L55">
        <v>24</v>
      </c>
    </row>
    <row r="56" spans="6:12">
      <c r="F56" t="s">
        <v>18</v>
      </c>
      <c r="G56">
        <v>64</v>
      </c>
      <c r="H56">
        <v>21</v>
      </c>
    </row>
    <row r="57" spans="6:12">
      <c r="F57" t="s">
        <v>18</v>
      </c>
      <c r="G57">
        <v>77</v>
      </c>
      <c r="H57">
        <v>22</v>
      </c>
    </row>
    <row r="58" spans="6:12">
      <c r="F58" t="s">
        <v>19</v>
      </c>
      <c r="G58">
        <v>37</v>
      </c>
      <c r="H58">
        <v>23</v>
      </c>
    </row>
    <row r="59" spans="6:12">
      <c r="F59" t="s">
        <v>18</v>
      </c>
      <c r="G59">
        <v>68</v>
      </c>
      <c r="H59">
        <v>24</v>
      </c>
    </row>
  </sheetData>
  <autoFilter ref="B1:D25">
    <filterColumn colId="1">
      <customFilters>
        <customFilter operator="notEqual" val=" "/>
      </customFilters>
    </filterColumn>
  </autoFilter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3"/>
  <sheetViews>
    <sheetView topLeftCell="D1" workbookViewId="0">
      <selection activeCell="F6" sqref="F6:I9"/>
    </sheetView>
  </sheetViews>
  <sheetFormatPr defaultRowHeight="13.5"/>
  <sheetData>
    <row r="1" spans="1:9">
      <c r="A1" t="s">
        <v>18</v>
      </c>
      <c r="B1">
        <v>64</v>
      </c>
      <c r="C1">
        <v>1</v>
      </c>
    </row>
    <row r="2" spans="1:9">
      <c r="A2" t="s">
        <v>18</v>
      </c>
      <c r="B2">
        <v>64</v>
      </c>
      <c r="C2">
        <v>2</v>
      </c>
    </row>
    <row r="3" spans="1:9">
      <c r="A3" t="s">
        <v>19</v>
      </c>
      <c r="B3">
        <v>67</v>
      </c>
      <c r="C3">
        <v>3</v>
      </c>
    </row>
    <row r="4" spans="1:9">
      <c r="A4" t="s">
        <v>18</v>
      </c>
      <c r="B4">
        <v>51</v>
      </c>
      <c r="C4">
        <v>4</v>
      </c>
    </row>
    <row r="5" spans="1:9">
      <c r="A5" t="s">
        <v>18</v>
      </c>
      <c r="B5">
        <v>51</v>
      </c>
      <c r="C5">
        <v>5</v>
      </c>
    </row>
    <row r="6" spans="1:9">
      <c r="A6" t="s">
        <v>18</v>
      </c>
      <c r="B6">
        <v>78</v>
      </c>
      <c r="C6">
        <v>6</v>
      </c>
      <c r="F6">
        <v>1</v>
      </c>
      <c r="G6">
        <v>2</v>
      </c>
      <c r="H6">
        <v>3</v>
      </c>
      <c r="I6">
        <v>4</v>
      </c>
    </row>
    <row r="7" spans="1:9">
      <c r="A7" t="s">
        <v>19</v>
      </c>
      <c r="B7">
        <v>35</v>
      </c>
      <c r="C7">
        <v>7</v>
      </c>
      <c r="F7">
        <v>2</v>
      </c>
      <c r="G7">
        <v>3</v>
      </c>
      <c r="H7">
        <v>4</v>
      </c>
      <c r="I7">
        <v>5</v>
      </c>
    </row>
    <row r="8" spans="1:9">
      <c r="A8" t="s">
        <v>18</v>
      </c>
      <c r="B8">
        <v>77</v>
      </c>
      <c r="C8">
        <v>8</v>
      </c>
      <c r="F8">
        <v>3</v>
      </c>
      <c r="G8">
        <v>4</v>
      </c>
      <c r="H8">
        <v>5</v>
      </c>
      <c r="I8">
        <v>6</v>
      </c>
    </row>
    <row r="9" spans="1:9">
      <c r="A9" t="s">
        <v>18</v>
      </c>
      <c r="B9">
        <v>80</v>
      </c>
      <c r="C9">
        <v>9</v>
      </c>
      <c r="F9">
        <v>4</v>
      </c>
      <c r="G9">
        <v>5</v>
      </c>
      <c r="H9">
        <v>6</v>
      </c>
      <c r="I9">
        <v>7</v>
      </c>
    </row>
    <row r="10" spans="1:9">
      <c r="A10" t="s">
        <v>18</v>
      </c>
      <c r="B10">
        <v>74</v>
      </c>
      <c r="C10">
        <v>10</v>
      </c>
    </row>
    <row r="11" spans="1:9">
      <c r="A11" t="s">
        <v>19</v>
      </c>
      <c r="B11">
        <v>37</v>
      </c>
      <c r="C11">
        <v>11</v>
      </c>
    </row>
    <row r="12" spans="1:9">
      <c r="A12" t="s">
        <v>18</v>
      </c>
      <c r="B12">
        <v>58</v>
      </c>
      <c r="C12">
        <v>12</v>
      </c>
    </row>
    <row r="13" spans="1:9">
      <c r="A13" t="s">
        <v>18</v>
      </c>
      <c r="B13">
        <v>83</v>
      </c>
      <c r="C13">
        <v>13</v>
      </c>
    </row>
    <row r="14" spans="1:9">
      <c r="A14" t="s">
        <v>18</v>
      </c>
      <c r="B14">
        <v>79</v>
      </c>
      <c r="C14">
        <v>14</v>
      </c>
      <c r="F14">
        <f>{1,2,3,4}</f>
        <v>1</v>
      </c>
    </row>
    <row r="15" spans="1:9">
      <c r="A15" t="s">
        <v>19</v>
      </c>
      <c r="B15">
        <v>55</v>
      </c>
      <c r="C15">
        <v>15</v>
      </c>
      <c r="F15">
        <f>{1;2;3;4}</f>
        <v>1</v>
      </c>
    </row>
    <row r="16" spans="1:9">
      <c r="A16" t="s">
        <v>18</v>
      </c>
      <c r="B16">
        <v>88</v>
      </c>
      <c r="C16">
        <v>16</v>
      </c>
      <c r="F16">
        <f>{1,2,3,4;2,3,4,5;3,4,5,6;4,5,6,7}</f>
        <v>1</v>
      </c>
    </row>
    <row r="17" spans="1:3">
      <c r="A17" t="s">
        <v>18</v>
      </c>
      <c r="B17">
        <v>83</v>
      </c>
      <c r="C17">
        <v>17</v>
      </c>
    </row>
    <row r="18" spans="1:3">
      <c r="A18" t="s">
        <v>18</v>
      </c>
      <c r="B18">
        <v>38</v>
      </c>
      <c r="C18">
        <v>18</v>
      </c>
    </row>
    <row r="19" spans="1:3">
      <c r="A19" t="s">
        <v>19</v>
      </c>
      <c r="B19">
        <v>88</v>
      </c>
      <c r="C19">
        <v>19</v>
      </c>
    </row>
    <row r="20" spans="1:3">
      <c r="A20" t="s">
        <v>18</v>
      </c>
      <c r="B20">
        <v>64</v>
      </c>
      <c r="C20">
        <v>21</v>
      </c>
    </row>
    <row r="21" spans="1:3">
      <c r="A21" t="s">
        <v>18</v>
      </c>
      <c r="B21">
        <v>77</v>
      </c>
      <c r="C21">
        <v>22</v>
      </c>
    </row>
    <row r="22" spans="1:3">
      <c r="A22" t="s">
        <v>19</v>
      </c>
      <c r="B22">
        <v>37</v>
      </c>
      <c r="C22">
        <v>23</v>
      </c>
    </row>
    <row r="23" spans="1:3">
      <c r="A23" t="s">
        <v>18</v>
      </c>
      <c r="B23">
        <v>68</v>
      </c>
      <c r="C23">
        <v>24</v>
      </c>
    </row>
  </sheetData>
  <phoneticPr fontId="1" type="noConversion"/>
  <pageMargins left="0.7" right="0.7" top="0.75" bottom="0.75" header="0.3" footer="0.3"/>
  <pageSetup paperSize="256" orientation="portrait" horizontalDpi="203" verticalDpi="20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5"/>
  <sheetViews>
    <sheetView workbookViewId="0">
      <selection activeCell="B2" sqref="B2"/>
    </sheetView>
  </sheetViews>
  <sheetFormatPr defaultRowHeight="13.5"/>
  <cols>
    <col min="1" max="1" width="19.375" bestFit="1" customWidth="1"/>
    <col min="2" max="2" width="19.375" customWidth="1"/>
  </cols>
  <sheetData>
    <row r="1" spans="1:2">
      <c r="A1" t="s">
        <v>20</v>
      </c>
      <c r="B1" t="str">
        <f>LEFT(A1,13)</f>
        <v>JHA8253S0000B</v>
      </c>
    </row>
    <row r="2" spans="1:2">
      <c r="A2" t="s">
        <v>21</v>
      </c>
      <c r="B2" t="str">
        <f t="shared" ref="B2:B5" si="0">LEFT(A2,13)</f>
        <v>JHA8253N0012F</v>
      </c>
    </row>
    <row r="3" spans="1:2">
      <c r="A3" t="s">
        <v>22</v>
      </c>
      <c r="B3" t="str">
        <f t="shared" si="0"/>
        <v>JHT8253000006</v>
      </c>
    </row>
    <row r="4" spans="1:2">
      <c r="A4" t="s">
        <v>23</v>
      </c>
      <c r="B4" t="str">
        <f t="shared" si="0"/>
        <v>JHA8253L00011</v>
      </c>
    </row>
    <row r="5" spans="1:2">
      <c r="A5" t="s">
        <v>24</v>
      </c>
      <c r="B5" t="str">
        <f t="shared" si="0"/>
        <v>JHA8253K000C6</v>
      </c>
    </row>
  </sheetData>
  <phoneticPr fontId="1" type="noConversion"/>
  <pageMargins left="0.7" right="0.7" top="0.75" bottom="0.75" header="0.3" footer="0.3"/>
  <pageSetup paperSize="256" orientation="portrait" horizontalDpi="203" verticalDpi="20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591"/>
  <sheetViews>
    <sheetView tabSelected="1" topLeftCell="A4" workbookViewId="0">
      <selection activeCell="F9" sqref="F9"/>
    </sheetView>
  </sheetViews>
  <sheetFormatPr defaultRowHeight="13.5" outlineLevelRow="3"/>
  <cols>
    <col min="1" max="1" width="7.25" customWidth="1"/>
    <col min="2" max="2" width="13.625" bestFit="1" customWidth="1"/>
    <col min="3" max="3" width="36.125" bestFit="1" customWidth="1"/>
    <col min="4" max="4" width="18.375" bestFit="1" customWidth="1"/>
    <col min="5" max="5" width="22.25" bestFit="1" customWidth="1"/>
    <col min="6" max="6" width="11.5" bestFit="1" customWidth="1"/>
    <col min="7" max="7" width="5.25" bestFit="1" customWidth="1"/>
    <col min="8" max="8" width="9.25" bestFit="1" customWidth="1"/>
    <col min="9" max="9" width="9.375" bestFit="1" customWidth="1"/>
    <col min="10" max="10" width="4.625" bestFit="1" customWidth="1"/>
    <col min="11" max="11" width="11.375" bestFit="1" customWidth="1"/>
    <col min="12" max="12" width="10.375" bestFit="1" customWidth="1"/>
  </cols>
  <sheetData>
    <row r="1" spans="1:12">
      <c r="A1" t="s">
        <v>26</v>
      </c>
      <c r="B1" t="s">
        <v>27</v>
      </c>
      <c r="C1" t="str">
        <f>CONCATENATE(E1,G1,I1,H1,J1)</f>
        <v>FG Code等级RevisionCheck InD/E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  <c r="L1" t="s">
        <v>36</v>
      </c>
    </row>
    <row r="2" spans="1:12" outlineLevel="3">
      <c r="A2" t="s">
        <v>37</v>
      </c>
      <c r="B2" t="s">
        <v>523</v>
      </c>
      <c r="C2" t="str">
        <f>CONCATENATE(E2,G2,I2,H2,J2)</f>
        <v>ZV190E0M-N10-4W51Q0J96D</v>
      </c>
      <c r="D2" t="s">
        <v>524</v>
      </c>
      <c r="E2" t="s">
        <v>525</v>
      </c>
      <c r="F2" t="s">
        <v>41</v>
      </c>
      <c r="G2" t="s">
        <v>69</v>
      </c>
      <c r="H2" t="s">
        <v>57</v>
      </c>
      <c r="I2" t="s">
        <v>58</v>
      </c>
      <c r="J2" t="s">
        <v>45</v>
      </c>
      <c r="K2">
        <v>9</v>
      </c>
    </row>
    <row r="3" spans="1:12" outlineLevel="3">
      <c r="A3" t="s">
        <v>37</v>
      </c>
      <c r="B3" t="s">
        <v>546</v>
      </c>
      <c r="C3" t="str">
        <f>CONCATENATE(E3,G3,I3,H3,J3)</f>
        <v>ZV190E0M-N10-4W51Q0J96D</v>
      </c>
      <c r="D3" t="s">
        <v>547</v>
      </c>
      <c r="E3" t="s">
        <v>525</v>
      </c>
      <c r="F3" t="s">
        <v>41</v>
      </c>
      <c r="G3" t="s">
        <v>69</v>
      </c>
      <c r="H3" t="s">
        <v>57</v>
      </c>
      <c r="I3" t="s">
        <v>58</v>
      </c>
      <c r="J3" t="s">
        <v>45</v>
      </c>
      <c r="K3">
        <v>10</v>
      </c>
    </row>
    <row r="4" spans="1:12" outlineLevel="2">
      <c r="C4" t="s">
        <v>799</v>
      </c>
      <c r="K4">
        <f>SUBTOTAL(3,K2:K3)</f>
        <v>2</v>
      </c>
    </row>
    <row r="5" spans="1:12" outlineLevel="1">
      <c r="C5" t="s">
        <v>624</v>
      </c>
      <c r="K5">
        <f>SUBTOTAL(9,K2:K3)</f>
        <v>19</v>
      </c>
    </row>
    <row r="6" spans="1:12" outlineLevel="3">
      <c r="A6" t="s">
        <v>37</v>
      </c>
      <c r="B6" t="s">
        <v>213</v>
      </c>
      <c r="C6" t="str">
        <f>CONCATENATE(E6,G6,I6,H6,J6)</f>
        <v>MV340VWM-NG0-4D50F0J96D</v>
      </c>
      <c r="D6" t="s">
        <v>214</v>
      </c>
      <c r="E6" t="s">
        <v>215</v>
      </c>
      <c r="F6" t="s">
        <v>41</v>
      </c>
      <c r="G6" t="s">
        <v>56</v>
      </c>
      <c r="H6" t="s">
        <v>57</v>
      </c>
      <c r="I6" t="s">
        <v>58</v>
      </c>
      <c r="J6" t="s">
        <v>45</v>
      </c>
      <c r="K6">
        <v>5</v>
      </c>
      <c r="L6" t="s">
        <v>46</v>
      </c>
    </row>
    <row r="7" spans="1:12" outlineLevel="2">
      <c r="C7" t="s">
        <v>800</v>
      </c>
      <c r="K7">
        <f>SUBTOTAL(3,K6:K6)</f>
        <v>1</v>
      </c>
    </row>
    <row r="8" spans="1:12" outlineLevel="1">
      <c r="C8" t="s">
        <v>625</v>
      </c>
      <c r="K8">
        <f>SUBTOTAL(9,K6:K6)</f>
        <v>5</v>
      </c>
    </row>
    <row r="9" spans="1:12" outlineLevel="3">
      <c r="A9" t="s">
        <v>37</v>
      </c>
      <c r="B9" t="s">
        <v>529</v>
      </c>
      <c r="C9" t="str">
        <f>CONCATENATE(E9,G9,I9,H9,J9)</f>
        <v>MV270QHM-NF2-4D40F0J96D</v>
      </c>
      <c r="D9" t="s">
        <v>530</v>
      </c>
      <c r="E9" t="s">
        <v>531</v>
      </c>
      <c r="F9" t="s">
        <v>41</v>
      </c>
      <c r="G9" t="s">
        <v>56</v>
      </c>
      <c r="H9" t="s">
        <v>57</v>
      </c>
      <c r="I9" t="s">
        <v>58</v>
      </c>
      <c r="J9" t="s">
        <v>45</v>
      </c>
      <c r="K9">
        <v>5</v>
      </c>
    </row>
    <row r="10" spans="1:12" outlineLevel="2">
      <c r="C10" t="s">
        <v>801</v>
      </c>
      <c r="K10">
        <f>SUBTOTAL(3,K9:K9)</f>
        <v>1</v>
      </c>
    </row>
    <row r="11" spans="1:12" outlineLevel="1">
      <c r="C11" t="s">
        <v>626</v>
      </c>
      <c r="K11">
        <f>SUBTOTAL(9,K9:K9)</f>
        <v>5</v>
      </c>
    </row>
    <row r="12" spans="1:12" outlineLevel="3">
      <c r="A12" t="s">
        <v>37</v>
      </c>
      <c r="B12" t="s">
        <v>620</v>
      </c>
      <c r="C12" t="str">
        <f>CONCATENATE(E12,G12,I12,H12,J12)</f>
        <v>MV270QHB-NF5-4940Q0MC1D</v>
      </c>
      <c r="D12" t="s">
        <v>621</v>
      </c>
      <c r="E12" t="s">
        <v>394</v>
      </c>
      <c r="F12" t="s">
        <v>55</v>
      </c>
      <c r="G12" t="s">
        <v>69</v>
      </c>
      <c r="H12" t="s">
        <v>43</v>
      </c>
      <c r="I12" t="s">
        <v>58</v>
      </c>
      <c r="J12" t="s">
        <v>45</v>
      </c>
      <c r="K12">
        <v>3</v>
      </c>
    </row>
    <row r="13" spans="1:12" outlineLevel="2">
      <c r="C13" t="s">
        <v>802</v>
      </c>
      <c r="K13">
        <f>SUBTOTAL(3,K12:K12)</f>
        <v>1</v>
      </c>
    </row>
    <row r="14" spans="1:12" outlineLevel="1">
      <c r="C14" t="s">
        <v>627</v>
      </c>
      <c r="K14">
        <f>SUBTOTAL(9,K12:K12)</f>
        <v>3</v>
      </c>
    </row>
    <row r="15" spans="1:12" outlineLevel="3">
      <c r="A15" t="s">
        <v>37</v>
      </c>
      <c r="B15" t="s">
        <v>601</v>
      </c>
      <c r="C15" t="str">
        <f>CONCATENATE(E15,G15,I15,H15,J15)</f>
        <v>MV270QHB-NF5-4940FMJ97D</v>
      </c>
      <c r="D15" t="s">
        <v>602</v>
      </c>
      <c r="E15" t="s">
        <v>394</v>
      </c>
      <c r="F15" t="s">
        <v>55</v>
      </c>
      <c r="G15" t="s">
        <v>56</v>
      </c>
      <c r="H15" t="s">
        <v>175</v>
      </c>
      <c r="I15" t="s">
        <v>176</v>
      </c>
      <c r="J15" t="s">
        <v>45</v>
      </c>
      <c r="K15">
        <v>3</v>
      </c>
    </row>
    <row r="16" spans="1:12" outlineLevel="2">
      <c r="C16" t="s">
        <v>803</v>
      </c>
      <c r="K16">
        <f>SUBTOTAL(3,K15:K15)</f>
        <v>1</v>
      </c>
    </row>
    <row r="17" spans="1:11" outlineLevel="1">
      <c r="C17" t="s">
        <v>628</v>
      </c>
      <c r="K17">
        <f>SUBTOTAL(9,K15:K15)</f>
        <v>3</v>
      </c>
    </row>
    <row r="18" spans="1:11" outlineLevel="3">
      <c r="A18" t="s">
        <v>37</v>
      </c>
      <c r="B18" t="s">
        <v>450</v>
      </c>
      <c r="C18" t="str">
        <f>CONCATENATE(E18,G18,I18,H18,J18)</f>
        <v>MV270QHB-NF5-4940FLJ96D</v>
      </c>
      <c r="D18" t="s">
        <v>451</v>
      </c>
      <c r="E18" t="s">
        <v>394</v>
      </c>
      <c r="F18" t="s">
        <v>55</v>
      </c>
      <c r="G18" t="s">
        <v>56</v>
      </c>
      <c r="H18" t="s">
        <v>57</v>
      </c>
      <c r="I18" t="s">
        <v>105</v>
      </c>
      <c r="J18" t="s">
        <v>45</v>
      </c>
      <c r="K18">
        <v>8</v>
      </c>
    </row>
    <row r="19" spans="1:11" outlineLevel="2">
      <c r="C19" t="s">
        <v>804</v>
      </c>
      <c r="K19">
        <f>SUBTOTAL(3,K18:K18)</f>
        <v>1</v>
      </c>
    </row>
    <row r="20" spans="1:11" outlineLevel="1">
      <c r="C20" t="s">
        <v>629</v>
      </c>
      <c r="K20">
        <f>SUBTOTAL(9,K18:K18)</f>
        <v>8</v>
      </c>
    </row>
    <row r="21" spans="1:11" outlineLevel="3">
      <c r="A21" t="s">
        <v>37</v>
      </c>
      <c r="B21" t="s">
        <v>607</v>
      </c>
      <c r="C21" t="str">
        <f>CONCATENATE(E21,G21,I21,H21,J21)</f>
        <v>MV270QHB-NF5-4940F0J96D</v>
      </c>
      <c r="D21" t="s">
        <v>608</v>
      </c>
      <c r="E21" t="s">
        <v>394</v>
      </c>
      <c r="F21" t="s">
        <v>55</v>
      </c>
      <c r="G21" t="s">
        <v>56</v>
      </c>
      <c r="H21" t="s">
        <v>57</v>
      </c>
      <c r="I21" t="s">
        <v>58</v>
      </c>
      <c r="J21" t="s">
        <v>45</v>
      </c>
      <c r="K21">
        <v>10</v>
      </c>
    </row>
    <row r="22" spans="1:11" outlineLevel="2">
      <c r="C22" t="s">
        <v>805</v>
      </c>
      <c r="K22">
        <f>SUBTOTAL(3,K21:K21)</f>
        <v>1</v>
      </c>
    </row>
    <row r="23" spans="1:11" outlineLevel="1">
      <c r="C23" t="s">
        <v>630</v>
      </c>
      <c r="K23">
        <f>SUBTOTAL(9,K21:K21)</f>
        <v>10</v>
      </c>
    </row>
    <row r="24" spans="1:11" outlineLevel="3">
      <c r="A24" t="s">
        <v>37</v>
      </c>
      <c r="B24" t="s">
        <v>392</v>
      </c>
      <c r="C24" t="str">
        <f>CONCATENATE(E24,G24,I24,H24,J24)</f>
        <v>MV270QHB-NF5-4940ASM08D</v>
      </c>
      <c r="D24" t="s">
        <v>393</v>
      </c>
      <c r="E24" t="s">
        <v>394</v>
      </c>
      <c r="F24" t="s">
        <v>55</v>
      </c>
      <c r="G24" t="s">
        <v>42</v>
      </c>
      <c r="H24" t="s">
        <v>65</v>
      </c>
      <c r="I24" t="s">
        <v>44</v>
      </c>
      <c r="J24" t="s">
        <v>45</v>
      </c>
      <c r="K24">
        <v>18</v>
      </c>
    </row>
    <row r="25" spans="1:11" outlineLevel="2">
      <c r="C25" t="s">
        <v>806</v>
      </c>
      <c r="K25">
        <f>SUBTOTAL(3,K24:K24)</f>
        <v>1</v>
      </c>
    </row>
    <row r="26" spans="1:11" outlineLevel="1">
      <c r="C26" t="s">
        <v>631</v>
      </c>
      <c r="K26">
        <f>SUBTOTAL(9,K24:K24)</f>
        <v>18</v>
      </c>
    </row>
    <row r="27" spans="1:11" outlineLevel="3">
      <c r="A27" t="s">
        <v>37</v>
      </c>
      <c r="B27" t="s">
        <v>456</v>
      </c>
      <c r="C27" t="str">
        <f>CONCATENATE(E27,G27,I27,H27,J27)</f>
        <v>MV270QHB-NF5-4940ALMC1D</v>
      </c>
      <c r="D27" t="s">
        <v>457</v>
      </c>
      <c r="E27" t="s">
        <v>394</v>
      </c>
      <c r="F27" t="s">
        <v>55</v>
      </c>
      <c r="G27" t="s">
        <v>42</v>
      </c>
      <c r="H27" t="s">
        <v>43</v>
      </c>
      <c r="I27" t="s">
        <v>105</v>
      </c>
      <c r="J27" t="s">
        <v>45</v>
      </c>
      <c r="K27">
        <v>4</v>
      </c>
    </row>
    <row r="28" spans="1:11" outlineLevel="2">
      <c r="C28" t="s">
        <v>807</v>
      </c>
      <c r="K28">
        <f>SUBTOTAL(3,K27:K27)</f>
        <v>1</v>
      </c>
    </row>
    <row r="29" spans="1:11" outlineLevel="1">
      <c r="C29" t="s">
        <v>632</v>
      </c>
      <c r="K29">
        <f>SUBTOTAL(9,K27:K27)</f>
        <v>4</v>
      </c>
    </row>
    <row r="30" spans="1:11" outlineLevel="3">
      <c r="A30" t="s">
        <v>37</v>
      </c>
      <c r="B30" t="s">
        <v>594</v>
      </c>
      <c r="C30" t="str">
        <f>CONCATENATE(E30,G30,I30,H30,J30)</f>
        <v>MV270QHB-NF2-4851FLJ96D</v>
      </c>
      <c r="D30" t="s">
        <v>595</v>
      </c>
      <c r="E30" t="s">
        <v>458</v>
      </c>
      <c r="F30" t="s">
        <v>55</v>
      </c>
      <c r="G30" t="s">
        <v>56</v>
      </c>
      <c r="H30" t="s">
        <v>57</v>
      </c>
      <c r="I30" t="s">
        <v>105</v>
      </c>
      <c r="J30" t="s">
        <v>45</v>
      </c>
      <c r="K30">
        <v>1</v>
      </c>
    </row>
    <row r="31" spans="1:11" outlineLevel="2">
      <c r="C31" t="s">
        <v>808</v>
      </c>
      <c r="K31">
        <f>SUBTOTAL(3,K30:K30)</f>
        <v>1</v>
      </c>
    </row>
    <row r="32" spans="1:11" outlineLevel="1">
      <c r="C32" t="s">
        <v>633</v>
      </c>
      <c r="K32">
        <f>SUBTOTAL(9,K30:K30)</f>
        <v>1</v>
      </c>
    </row>
    <row r="33" spans="1:12" outlineLevel="3">
      <c r="A33" t="s">
        <v>37</v>
      </c>
      <c r="B33" t="s">
        <v>538</v>
      </c>
      <c r="C33" t="str">
        <f>CONCATENATE(E33,G33,I33,H33,J33)</f>
        <v>MV270QHB-N50-4M51FLJ96D</v>
      </c>
      <c r="D33" t="s">
        <v>539</v>
      </c>
      <c r="E33" t="s">
        <v>540</v>
      </c>
      <c r="F33" t="s">
        <v>55</v>
      </c>
      <c r="G33" t="s">
        <v>56</v>
      </c>
      <c r="H33" t="s">
        <v>57</v>
      </c>
      <c r="I33" t="s">
        <v>105</v>
      </c>
      <c r="J33" t="s">
        <v>45</v>
      </c>
      <c r="K33">
        <v>7</v>
      </c>
    </row>
    <row r="34" spans="1:12" outlineLevel="2">
      <c r="C34" t="s">
        <v>809</v>
      </c>
      <c r="K34">
        <f>SUBTOTAL(3,K33:K33)</f>
        <v>1</v>
      </c>
    </row>
    <row r="35" spans="1:12" outlineLevel="1">
      <c r="C35" t="s">
        <v>634</v>
      </c>
      <c r="K35">
        <f>SUBTOTAL(9,K33:K33)</f>
        <v>7</v>
      </c>
    </row>
    <row r="36" spans="1:12" outlineLevel="3">
      <c r="A36" t="s">
        <v>37</v>
      </c>
      <c r="B36" t="s">
        <v>548</v>
      </c>
      <c r="C36" t="str">
        <f>CONCATENATE(E36,G36,I36,H36,J36)</f>
        <v>MV270FHM-NF2-4D40F0J96D</v>
      </c>
      <c r="D36" t="s">
        <v>549</v>
      </c>
      <c r="E36" t="s">
        <v>550</v>
      </c>
      <c r="F36" t="s">
        <v>41</v>
      </c>
      <c r="G36" t="s">
        <v>56</v>
      </c>
      <c r="H36" t="s">
        <v>57</v>
      </c>
      <c r="I36" t="s">
        <v>58</v>
      </c>
      <c r="J36" t="s">
        <v>45</v>
      </c>
      <c r="K36">
        <v>7</v>
      </c>
    </row>
    <row r="37" spans="1:12" outlineLevel="2">
      <c r="C37" t="s">
        <v>810</v>
      </c>
      <c r="K37">
        <f>SUBTOTAL(3,K36:K36)</f>
        <v>1</v>
      </c>
    </row>
    <row r="38" spans="1:12" outlineLevel="1">
      <c r="C38" t="s">
        <v>635</v>
      </c>
      <c r="K38">
        <f>SUBTOTAL(9,K36:K36)</f>
        <v>7</v>
      </c>
    </row>
    <row r="39" spans="1:12" outlineLevel="3">
      <c r="A39" t="s">
        <v>37</v>
      </c>
      <c r="B39" t="s">
        <v>303</v>
      </c>
      <c r="C39" t="str">
        <f>CONCATENATE(E39,G39,I39,H39,J39)</f>
        <v>MV270FHM-N42-494ZQ0MC1D</v>
      </c>
      <c r="D39" t="s">
        <v>304</v>
      </c>
      <c r="E39" t="s">
        <v>288</v>
      </c>
      <c r="F39" t="s">
        <v>41</v>
      </c>
      <c r="G39" t="s">
        <v>69</v>
      </c>
      <c r="H39" t="s">
        <v>43</v>
      </c>
      <c r="I39" t="s">
        <v>58</v>
      </c>
      <c r="J39" t="s">
        <v>45</v>
      </c>
      <c r="K39">
        <v>2</v>
      </c>
      <c r="L39" t="s">
        <v>46</v>
      </c>
    </row>
    <row r="40" spans="1:12" outlineLevel="2">
      <c r="C40" t="s">
        <v>811</v>
      </c>
      <c r="K40">
        <f>SUBTOTAL(3,K39:K39)</f>
        <v>1</v>
      </c>
    </row>
    <row r="41" spans="1:12" outlineLevel="1">
      <c r="C41" t="s">
        <v>636</v>
      </c>
      <c r="K41">
        <f>SUBTOTAL(9,K39:K39)</f>
        <v>2</v>
      </c>
    </row>
    <row r="42" spans="1:12" outlineLevel="3">
      <c r="A42" t="s">
        <v>37</v>
      </c>
      <c r="B42" t="s">
        <v>286</v>
      </c>
      <c r="C42" t="str">
        <f>CONCATENATE(E42,G42,I42,H42,J42)</f>
        <v>MV270FHM-N42-494ZASMC1D</v>
      </c>
      <c r="D42" t="s">
        <v>287</v>
      </c>
      <c r="E42" t="s">
        <v>288</v>
      </c>
      <c r="F42" t="s">
        <v>41</v>
      </c>
      <c r="G42" t="s">
        <v>42</v>
      </c>
      <c r="H42" t="s">
        <v>43</v>
      </c>
      <c r="I42" t="s">
        <v>44</v>
      </c>
      <c r="J42" t="s">
        <v>45</v>
      </c>
      <c r="K42">
        <v>28</v>
      </c>
      <c r="L42" t="s">
        <v>46</v>
      </c>
    </row>
    <row r="43" spans="1:12" outlineLevel="2">
      <c r="C43" t="s">
        <v>812</v>
      </c>
      <c r="K43">
        <f>SUBTOTAL(3,K42:K42)</f>
        <v>1</v>
      </c>
    </row>
    <row r="44" spans="1:12" outlineLevel="1">
      <c r="C44" t="s">
        <v>637</v>
      </c>
      <c r="K44">
        <f>SUBTOTAL(9,K42:K42)</f>
        <v>28</v>
      </c>
    </row>
    <row r="45" spans="1:12" outlineLevel="3">
      <c r="A45" t="s">
        <v>37</v>
      </c>
      <c r="B45" t="s">
        <v>305</v>
      </c>
      <c r="C45" t="str">
        <f>CONCATENATE(E45,G45,I45,H45,J45)</f>
        <v>MV270FHM-N42-494ZANMC1D</v>
      </c>
      <c r="D45" t="s">
        <v>306</v>
      </c>
      <c r="E45" t="s">
        <v>288</v>
      </c>
      <c r="F45" t="s">
        <v>41</v>
      </c>
      <c r="G45" t="s">
        <v>42</v>
      </c>
      <c r="H45" t="s">
        <v>43</v>
      </c>
      <c r="I45" t="s">
        <v>51</v>
      </c>
      <c r="J45" t="s">
        <v>45</v>
      </c>
      <c r="K45">
        <v>6</v>
      </c>
      <c r="L45" t="s">
        <v>46</v>
      </c>
    </row>
    <row r="46" spans="1:12" outlineLevel="2">
      <c r="C46" t="s">
        <v>813</v>
      </c>
      <c r="K46">
        <f>SUBTOTAL(3,K45:K45)</f>
        <v>1</v>
      </c>
    </row>
    <row r="47" spans="1:12" outlineLevel="1">
      <c r="C47" t="s">
        <v>638</v>
      </c>
      <c r="K47">
        <f>SUBTOTAL(9,K45:K45)</f>
        <v>6</v>
      </c>
    </row>
    <row r="48" spans="1:12" outlineLevel="3">
      <c r="A48" t="s">
        <v>37</v>
      </c>
      <c r="B48" t="s">
        <v>535</v>
      </c>
      <c r="C48" t="str">
        <f>CONCATENATE(E48,G48,I48,H48,J48)</f>
        <v>MV270FHM-N42-494XFLJ96D</v>
      </c>
      <c r="D48" t="s">
        <v>536</v>
      </c>
      <c r="E48" t="s">
        <v>537</v>
      </c>
      <c r="F48" t="s">
        <v>41</v>
      </c>
      <c r="G48" t="s">
        <v>56</v>
      </c>
      <c r="H48" t="s">
        <v>57</v>
      </c>
      <c r="I48" t="s">
        <v>105</v>
      </c>
      <c r="J48" t="s">
        <v>45</v>
      </c>
      <c r="K48">
        <v>4</v>
      </c>
    </row>
    <row r="49" spans="1:12" outlineLevel="2">
      <c r="C49" t="s">
        <v>814</v>
      </c>
      <c r="K49">
        <f>SUBTOTAL(3,K48:K48)</f>
        <v>1</v>
      </c>
    </row>
    <row r="50" spans="1:12" outlineLevel="1">
      <c r="C50" t="s">
        <v>639</v>
      </c>
      <c r="K50">
        <f>SUBTOTAL(9,K48:K48)</f>
        <v>4</v>
      </c>
    </row>
    <row r="51" spans="1:12" outlineLevel="3">
      <c r="A51" t="s">
        <v>37</v>
      </c>
      <c r="B51" t="s">
        <v>543</v>
      </c>
      <c r="C51" t="str">
        <f>CONCATENATE(E51,G51,I51,H51,J51)</f>
        <v>MV270FHM-N42-4854F0J96D</v>
      </c>
      <c r="D51" t="s">
        <v>544</v>
      </c>
      <c r="E51" t="s">
        <v>545</v>
      </c>
      <c r="F51" t="s">
        <v>41</v>
      </c>
      <c r="G51" t="s">
        <v>56</v>
      </c>
      <c r="H51" t="s">
        <v>57</v>
      </c>
      <c r="I51" t="s">
        <v>58</v>
      </c>
      <c r="J51" t="s">
        <v>45</v>
      </c>
      <c r="K51">
        <v>6</v>
      </c>
    </row>
    <row r="52" spans="1:12" outlineLevel="2">
      <c r="C52" t="s">
        <v>815</v>
      </c>
      <c r="K52">
        <f>SUBTOTAL(3,K51:K51)</f>
        <v>1</v>
      </c>
    </row>
    <row r="53" spans="1:12" outlineLevel="1">
      <c r="C53" t="s">
        <v>640</v>
      </c>
      <c r="K53">
        <f>SUBTOTAL(9,K51:K51)</f>
        <v>6</v>
      </c>
    </row>
    <row r="54" spans="1:12" outlineLevel="3">
      <c r="A54" t="s">
        <v>37</v>
      </c>
      <c r="B54" t="s">
        <v>515</v>
      </c>
      <c r="C54" t="str">
        <f>CONCATENATE(E54,G54,I54,H54,J54)</f>
        <v>MV270FHM-N40-4946F0J96D</v>
      </c>
      <c r="D54" t="s">
        <v>516</v>
      </c>
      <c r="E54" t="s">
        <v>517</v>
      </c>
      <c r="F54" t="s">
        <v>41</v>
      </c>
      <c r="G54" t="s">
        <v>56</v>
      </c>
      <c r="H54" t="s">
        <v>57</v>
      </c>
      <c r="I54" t="s">
        <v>58</v>
      </c>
      <c r="J54" t="s">
        <v>45</v>
      </c>
      <c r="K54">
        <v>7</v>
      </c>
    </row>
    <row r="55" spans="1:12" outlineLevel="2">
      <c r="C55" t="s">
        <v>816</v>
      </c>
      <c r="K55">
        <f>SUBTOTAL(3,K54:K54)</f>
        <v>1</v>
      </c>
    </row>
    <row r="56" spans="1:12" outlineLevel="1">
      <c r="C56" t="s">
        <v>641</v>
      </c>
      <c r="K56">
        <f>SUBTOTAL(9,K54:K54)</f>
        <v>7</v>
      </c>
    </row>
    <row r="57" spans="1:12" outlineLevel="3">
      <c r="A57" t="s">
        <v>37</v>
      </c>
      <c r="B57" t="s">
        <v>158</v>
      </c>
      <c r="C57" t="str">
        <f>CONCATENATE(E57,G57,I57,H57,J57)</f>
        <v>MV270FHB-NX4-4D50F0J96D</v>
      </c>
      <c r="D57" t="s">
        <v>159</v>
      </c>
      <c r="E57" t="s">
        <v>157</v>
      </c>
      <c r="F57" t="s">
        <v>55</v>
      </c>
      <c r="G57" t="s">
        <v>56</v>
      </c>
      <c r="H57" t="s">
        <v>57</v>
      </c>
      <c r="I57" t="s">
        <v>58</v>
      </c>
      <c r="J57" t="s">
        <v>45</v>
      </c>
      <c r="K57">
        <v>1</v>
      </c>
      <c r="L57" t="s">
        <v>46</v>
      </c>
    </row>
    <row r="58" spans="1:12" outlineLevel="3">
      <c r="A58" t="s">
        <v>37</v>
      </c>
      <c r="B58" t="s">
        <v>202</v>
      </c>
      <c r="C58" t="str">
        <f>CONCATENATE(E58,G58,I58,H58,J58)</f>
        <v>MV270FHB-NX4-4D50F0J96D</v>
      </c>
      <c r="D58" t="s">
        <v>203</v>
      </c>
      <c r="E58" t="s">
        <v>157</v>
      </c>
      <c r="F58" t="s">
        <v>55</v>
      </c>
      <c r="G58" t="s">
        <v>56</v>
      </c>
      <c r="H58" t="s">
        <v>57</v>
      </c>
      <c r="I58" t="s">
        <v>58</v>
      </c>
      <c r="J58" t="s">
        <v>45</v>
      </c>
      <c r="K58">
        <v>12</v>
      </c>
      <c r="L58" t="s">
        <v>46</v>
      </c>
    </row>
    <row r="59" spans="1:12" outlineLevel="2">
      <c r="C59" t="s">
        <v>817</v>
      </c>
      <c r="K59">
        <f>SUBTOTAL(3,K57:K58)</f>
        <v>2</v>
      </c>
    </row>
    <row r="60" spans="1:12" outlineLevel="1">
      <c r="C60" t="s">
        <v>642</v>
      </c>
      <c r="K60">
        <f>SUBTOTAL(9,K57:K58)</f>
        <v>13</v>
      </c>
    </row>
    <row r="61" spans="1:12" outlineLevel="3">
      <c r="A61" t="s">
        <v>37</v>
      </c>
      <c r="B61" t="s">
        <v>155</v>
      </c>
      <c r="C61" t="str">
        <f>CONCATENATE(E61,G61,I61,H61,J61)</f>
        <v>MV270FHB-NX4-4D50ASM08D</v>
      </c>
      <c r="D61" t="s">
        <v>156</v>
      </c>
      <c r="E61" t="s">
        <v>157</v>
      </c>
      <c r="F61" t="s">
        <v>55</v>
      </c>
      <c r="G61" t="s">
        <v>42</v>
      </c>
      <c r="H61" t="s">
        <v>65</v>
      </c>
      <c r="I61" t="s">
        <v>44</v>
      </c>
      <c r="J61" t="s">
        <v>45</v>
      </c>
      <c r="K61">
        <v>6</v>
      </c>
      <c r="L61" t="s">
        <v>46</v>
      </c>
    </row>
    <row r="62" spans="1:12" outlineLevel="2">
      <c r="C62" t="s">
        <v>818</v>
      </c>
      <c r="K62">
        <f>SUBTOTAL(3,K61:K61)</f>
        <v>1</v>
      </c>
    </row>
    <row r="63" spans="1:12" outlineLevel="1">
      <c r="C63" t="s">
        <v>643</v>
      </c>
      <c r="K63">
        <f>SUBTOTAL(9,K61:K61)</f>
        <v>6</v>
      </c>
    </row>
    <row r="64" spans="1:12" outlineLevel="3">
      <c r="A64" t="s">
        <v>37</v>
      </c>
      <c r="B64" t="s">
        <v>265</v>
      </c>
      <c r="C64" t="str">
        <f>CONCATENATE(E64,G64,I64,H64,J64)</f>
        <v>MV270FHB-NX4-4D50ANM08D</v>
      </c>
      <c r="D64" t="s">
        <v>266</v>
      </c>
      <c r="E64" t="s">
        <v>157</v>
      </c>
      <c r="F64" t="s">
        <v>55</v>
      </c>
      <c r="G64" t="s">
        <v>42</v>
      </c>
      <c r="H64" t="s">
        <v>65</v>
      </c>
      <c r="I64" t="s">
        <v>51</v>
      </c>
      <c r="J64" t="s">
        <v>45</v>
      </c>
      <c r="K64">
        <v>3</v>
      </c>
      <c r="L64" t="s">
        <v>46</v>
      </c>
    </row>
    <row r="65" spans="1:11" outlineLevel="2">
      <c r="C65" t="s">
        <v>819</v>
      </c>
      <c r="K65">
        <f>SUBTOTAL(3,K64:K64)</f>
        <v>1</v>
      </c>
    </row>
    <row r="66" spans="1:11" outlineLevel="1">
      <c r="C66" t="s">
        <v>644</v>
      </c>
      <c r="K66">
        <f>SUBTOTAL(9,K64:K64)</f>
        <v>3</v>
      </c>
    </row>
    <row r="67" spans="1:11" outlineLevel="3">
      <c r="A67" t="s">
        <v>37</v>
      </c>
      <c r="B67" t="s">
        <v>379</v>
      </c>
      <c r="C67" t="str">
        <f>CONCATENATE(E67,G67,I67,H67,J67)</f>
        <v>MV270FHB-NX2-4M51FLJ96D</v>
      </c>
      <c r="D67" t="s">
        <v>380</v>
      </c>
      <c r="E67" t="s">
        <v>381</v>
      </c>
      <c r="F67" t="s">
        <v>55</v>
      </c>
      <c r="G67" t="s">
        <v>56</v>
      </c>
      <c r="H67" t="s">
        <v>57</v>
      </c>
      <c r="I67" t="s">
        <v>105</v>
      </c>
      <c r="J67" t="s">
        <v>45</v>
      </c>
      <c r="K67">
        <v>10</v>
      </c>
    </row>
    <row r="68" spans="1:11" outlineLevel="2">
      <c r="C68" t="s">
        <v>820</v>
      </c>
      <c r="K68">
        <f>SUBTOTAL(3,K67:K67)</f>
        <v>1</v>
      </c>
    </row>
    <row r="69" spans="1:11" outlineLevel="1">
      <c r="C69" t="s">
        <v>645</v>
      </c>
      <c r="K69">
        <f>SUBTOTAL(9,K67:K67)</f>
        <v>10</v>
      </c>
    </row>
    <row r="70" spans="1:11" outlineLevel="3">
      <c r="A70" t="s">
        <v>37</v>
      </c>
      <c r="B70" t="s">
        <v>614</v>
      </c>
      <c r="C70" t="str">
        <f>CONCATENATE(E70,G70,I70,H70,J70)</f>
        <v>MV270FHB-NF5-4D41FLJ96D</v>
      </c>
      <c r="D70" t="s">
        <v>615</v>
      </c>
      <c r="E70" t="s">
        <v>385</v>
      </c>
      <c r="F70" t="s">
        <v>55</v>
      </c>
      <c r="G70" t="s">
        <v>56</v>
      </c>
      <c r="H70" t="s">
        <v>57</v>
      </c>
      <c r="I70" t="s">
        <v>105</v>
      </c>
      <c r="J70" t="s">
        <v>45</v>
      </c>
      <c r="K70">
        <v>1</v>
      </c>
    </row>
    <row r="71" spans="1:11" outlineLevel="2">
      <c r="C71" t="s">
        <v>821</v>
      </c>
      <c r="K71">
        <f>SUBTOTAL(3,K70:K70)</f>
        <v>1</v>
      </c>
    </row>
    <row r="72" spans="1:11" outlineLevel="1">
      <c r="C72" t="s">
        <v>646</v>
      </c>
      <c r="K72">
        <f>SUBTOTAL(9,K70:K70)</f>
        <v>1</v>
      </c>
    </row>
    <row r="73" spans="1:11" outlineLevel="3">
      <c r="A73" t="s">
        <v>37</v>
      </c>
      <c r="B73" t="s">
        <v>395</v>
      </c>
      <c r="C73" t="str">
        <f>CONCATENATE(E73,G73,I73,H73,J73)</f>
        <v>MV270FHB-NF5-4D40FLJ96D</v>
      </c>
      <c r="D73" t="s">
        <v>396</v>
      </c>
      <c r="E73" t="s">
        <v>374</v>
      </c>
      <c r="F73" t="s">
        <v>55</v>
      </c>
      <c r="G73" t="s">
        <v>56</v>
      </c>
      <c r="H73" t="s">
        <v>57</v>
      </c>
      <c r="I73" t="s">
        <v>105</v>
      </c>
      <c r="J73" t="s">
        <v>45</v>
      </c>
      <c r="K73">
        <v>4</v>
      </c>
    </row>
    <row r="74" spans="1:11" outlineLevel="2">
      <c r="C74" t="s">
        <v>822</v>
      </c>
      <c r="K74">
        <f>SUBTOTAL(3,K73:K73)</f>
        <v>1</v>
      </c>
    </row>
    <row r="75" spans="1:11" outlineLevel="1">
      <c r="C75" t="s">
        <v>647</v>
      </c>
      <c r="K75">
        <f>SUBTOTAL(9,K73:K73)</f>
        <v>4</v>
      </c>
    </row>
    <row r="76" spans="1:11" outlineLevel="3">
      <c r="A76" t="s">
        <v>37</v>
      </c>
      <c r="B76" t="s">
        <v>372</v>
      </c>
      <c r="C76" t="str">
        <f>CONCATENATE(E76,G76,I76,H76,J76)</f>
        <v>MV270FHB-NF5-4D40ASMC1D</v>
      </c>
      <c r="D76" t="s">
        <v>373</v>
      </c>
      <c r="E76" t="s">
        <v>374</v>
      </c>
      <c r="F76" t="s">
        <v>55</v>
      </c>
      <c r="G76" t="s">
        <v>42</v>
      </c>
      <c r="H76" t="s">
        <v>43</v>
      </c>
      <c r="I76" t="s">
        <v>44</v>
      </c>
      <c r="J76" t="s">
        <v>45</v>
      </c>
      <c r="K76">
        <v>3</v>
      </c>
    </row>
    <row r="77" spans="1:11" outlineLevel="2">
      <c r="C77" t="s">
        <v>823</v>
      </c>
      <c r="K77">
        <f>SUBTOTAL(3,K76:K76)</f>
        <v>1</v>
      </c>
    </row>
    <row r="78" spans="1:11" outlineLevel="1">
      <c r="C78" t="s">
        <v>648</v>
      </c>
      <c r="K78">
        <f>SUBTOTAL(9,K76:K76)</f>
        <v>3</v>
      </c>
    </row>
    <row r="79" spans="1:11" outlineLevel="3">
      <c r="A79" t="s">
        <v>37</v>
      </c>
      <c r="B79" t="s">
        <v>445</v>
      </c>
      <c r="C79" t="str">
        <f>CONCATENATE(E79,G79,I79,H79,J79)</f>
        <v>MV270FHB-NF5-4D40ANMC1D</v>
      </c>
      <c r="D79" t="s">
        <v>446</v>
      </c>
      <c r="E79" t="s">
        <v>374</v>
      </c>
      <c r="F79" t="s">
        <v>55</v>
      </c>
      <c r="G79" t="s">
        <v>42</v>
      </c>
      <c r="H79" t="s">
        <v>43</v>
      </c>
      <c r="I79" t="s">
        <v>51</v>
      </c>
      <c r="J79" t="s">
        <v>45</v>
      </c>
      <c r="K79">
        <v>1</v>
      </c>
    </row>
    <row r="80" spans="1:11" outlineLevel="2">
      <c r="C80" t="s">
        <v>824</v>
      </c>
      <c r="K80">
        <f>SUBTOTAL(3,K79:K79)</f>
        <v>1</v>
      </c>
    </row>
    <row r="81" spans="1:12" outlineLevel="1">
      <c r="C81" t="s">
        <v>649</v>
      </c>
      <c r="K81">
        <f>SUBTOTAL(9,K79:K79)</f>
        <v>1</v>
      </c>
    </row>
    <row r="82" spans="1:12" outlineLevel="3">
      <c r="A82" t="s">
        <v>37</v>
      </c>
      <c r="B82" t="s">
        <v>405</v>
      </c>
      <c r="C82" t="str">
        <f>CONCATENATE(E82,G82,I82,H82,J82)</f>
        <v>MV270FHB-NF4-4940FLJ96D</v>
      </c>
      <c r="D82" t="s">
        <v>406</v>
      </c>
      <c r="E82" t="s">
        <v>407</v>
      </c>
      <c r="F82" t="s">
        <v>55</v>
      </c>
      <c r="G82" t="s">
        <v>56</v>
      </c>
      <c r="H82" t="s">
        <v>57</v>
      </c>
      <c r="I82" t="s">
        <v>105</v>
      </c>
      <c r="J82" t="s">
        <v>45</v>
      </c>
      <c r="K82">
        <v>2</v>
      </c>
    </row>
    <row r="83" spans="1:12" outlineLevel="2">
      <c r="C83" t="s">
        <v>825</v>
      </c>
      <c r="K83">
        <f>SUBTOTAL(3,K82:K82)</f>
        <v>1</v>
      </c>
    </row>
    <row r="84" spans="1:12" outlineLevel="1">
      <c r="C84" t="s">
        <v>650</v>
      </c>
      <c r="K84">
        <f>SUBTOTAL(9,K82:K82)</f>
        <v>2</v>
      </c>
    </row>
    <row r="85" spans="1:12" outlineLevel="3">
      <c r="A85" t="s">
        <v>37</v>
      </c>
      <c r="B85" t="s">
        <v>408</v>
      </c>
      <c r="C85" t="str">
        <f>CONCATENATE(E85,G85,I85,H85,J85)</f>
        <v>MV270FHB-NF3-4850FLJ96D</v>
      </c>
      <c r="D85" t="s">
        <v>409</v>
      </c>
      <c r="E85" t="s">
        <v>410</v>
      </c>
      <c r="F85" t="s">
        <v>55</v>
      </c>
      <c r="G85" t="s">
        <v>56</v>
      </c>
      <c r="H85" t="s">
        <v>57</v>
      </c>
      <c r="I85" t="s">
        <v>105</v>
      </c>
      <c r="J85" t="s">
        <v>45</v>
      </c>
      <c r="K85">
        <v>9</v>
      </c>
    </row>
    <row r="86" spans="1:12" outlineLevel="2">
      <c r="C86" t="s">
        <v>826</v>
      </c>
      <c r="K86">
        <f>SUBTOTAL(3,K85:K85)</f>
        <v>1</v>
      </c>
    </row>
    <row r="87" spans="1:12" outlineLevel="1">
      <c r="C87" t="s">
        <v>651</v>
      </c>
      <c r="K87">
        <f>SUBTOTAL(9,K85:K85)</f>
        <v>9</v>
      </c>
    </row>
    <row r="88" spans="1:12" outlineLevel="3">
      <c r="A88" t="s">
        <v>37</v>
      </c>
      <c r="B88" t="s">
        <v>234</v>
      </c>
      <c r="C88" t="str">
        <f>CONCATENATE(E88,G88,I88,H88,J88)</f>
        <v>MV270FHB-NF2-4851Q0M01D</v>
      </c>
      <c r="D88" t="s">
        <v>235</v>
      </c>
      <c r="E88" t="s">
        <v>78</v>
      </c>
      <c r="F88" t="s">
        <v>55</v>
      </c>
      <c r="G88" t="s">
        <v>69</v>
      </c>
      <c r="H88" t="s">
        <v>61</v>
      </c>
      <c r="I88" t="s">
        <v>58</v>
      </c>
      <c r="J88" t="s">
        <v>45</v>
      </c>
      <c r="K88">
        <v>2</v>
      </c>
      <c r="L88" t="s">
        <v>46</v>
      </c>
    </row>
    <row r="89" spans="1:12" outlineLevel="2">
      <c r="C89" t="s">
        <v>827</v>
      </c>
      <c r="K89">
        <f>SUBTOTAL(3,K88:K88)</f>
        <v>1</v>
      </c>
    </row>
    <row r="90" spans="1:12" outlineLevel="1">
      <c r="C90" t="s">
        <v>652</v>
      </c>
      <c r="K90">
        <f>SUBTOTAL(9,K88:K88)</f>
        <v>2</v>
      </c>
    </row>
    <row r="91" spans="1:12" outlineLevel="3">
      <c r="A91" t="s">
        <v>37</v>
      </c>
      <c r="B91" t="s">
        <v>76</v>
      </c>
      <c r="C91" t="str">
        <f>CONCATENATE(E91,G91,I91,H91,J91)</f>
        <v>MV270FHB-NF2-4851AQM01D</v>
      </c>
      <c r="D91" t="s">
        <v>77</v>
      </c>
      <c r="E91" t="s">
        <v>78</v>
      </c>
      <c r="F91" t="s">
        <v>55</v>
      </c>
      <c r="G91" t="s">
        <v>42</v>
      </c>
      <c r="H91" t="s">
        <v>61</v>
      </c>
      <c r="I91" t="s">
        <v>69</v>
      </c>
      <c r="J91" t="s">
        <v>45</v>
      </c>
      <c r="K91">
        <v>5</v>
      </c>
      <c r="L91" t="s">
        <v>46</v>
      </c>
    </row>
    <row r="92" spans="1:12" outlineLevel="2">
      <c r="C92" t="s">
        <v>828</v>
      </c>
      <c r="K92">
        <f>SUBTOTAL(3,K91:K91)</f>
        <v>1</v>
      </c>
    </row>
    <row r="93" spans="1:12" outlineLevel="1">
      <c r="C93" t="s">
        <v>653</v>
      </c>
      <c r="K93">
        <f>SUBTOTAL(9,K91:K91)</f>
        <v>5</v>
      </c>
    </row>
    <row r="94" spans="1:12" outlineLevel="3">
      <c r="A94" t="s">
        <v>37</v>
      </c>
      <c r="B94" t="s">
        <v>421</v>
      </c>
      <c r="C94" t="str">
        <f>CONCATENATE(E94,G94,I94,H94,J94)</f>
        <v>MV270FHB-NF1-4852Q0MC1D</v>
      </c>
      <c r="D94" t="s">
        <v>422</v>
      </c>
      <c r="E94" t="s">
        <v>371</v>
      </c>
      <c r="F94" t="s">
        <v>55</v>
      </c>
      <c r="G94" t="s">
        <v>69</v>
      </c>
      <c r="H94" t="s">
        <v>43</v>
      </c>
      <c r="I94" t="s">
        <v>58</v>
      </c>
      <c r="J94" t="s">
        <v>45</v>
      </c>
      <c r="K94">
        <v>5</v>
      </c>
    </row>
    <row r="95" spans="1:12" outlineLevel="2">
      <c r="C95" t="s">
        <v>829</v>
      </c>
      <c r="K95">
        <f>SUBTOTAL(3,K94:K94)</f>
        <v>1</v>
      </c>
    </row>
    <row r="96" spans="1:12" outlineLevel="1">
      <c r="C96" t="s">
        <v>654</v>
      </c>
      <c r="K96">
        <f>SUBTOTAL(9,K94:K94)</f>
        <v>5</v>
      </c>
    </row>
    <row r="97" spans="1:11" outlineLevel="3">
      <c r="A97" t="s">
        <v>37</v>
      </c>
      <c r="B97" t="s">
        <v>603</v>
      </c>
      <c r="C97" t="str">
        <f>CONCATENATE(E97,G97,I97,H97,J97)</f>
        <v>MV270FHB-NF1-4852FMJ97D</v>
      </c>
      <c r="D97" t="s">
        <v>604</v>
      </c>
      <c r="E97" t="s">
        <v>371</v>
      </c>
      <c r="F97" t="s">
        <v>55</v>
      </c>
      <c r="G97" t="s">
        <v>56</v>
      </c>
      <c r="H97" t="s">
        <v>175</v>
      </c>
      <c r="I97" t="s">
        <v>176</v>
      </c>
      <c r="J97" t="s">
        <v>45</v>
      </c>
      <c r="K97">
        <v>1</v>
      </c>
    </row>
    <row r="98" spans="1:11" outlineLevel="2">
      <c r="C98" t="s">
        <v>830</v>
      </c>
      <c r="K98">
        <f>SUBTOTAL(3,K97:K97)</f>
        <v>1</v>
      </c>
    </row>
    <row r="99" spans="1:11" outlineLevel="1">
      <c r="C99" t="s">
        <v>655</v>
      </c>
      <c r="K99">
        <f>SUBTOTAL(9,K97:K97)</f>
        <v>1</v>
      </c>
    </row>
    <row r="100" spans="1:11" outlineLevel="3">
      <c r="A100" t="s">
        <v>37</v>
      </c>
      <c r="B100" t="s">
        <v>618</v>
      </c>
      <c r="C100" t="str">
        <f>CONCATENATE(E100,G100,I100,H100,J100)</f>
        <v>MV270FHB-NF1-4852F0J96D</v>
      </c>
      <c r="D100" t="s">
        <v>619</v>
      </c>
      <c r="E100" t="s">
        <v>371</v>
      </c>
      <c r="F100" t="s">
        <v>55</v>
      </c>
      <c r="G100" t="s">
        <v>56</v>
      </c>
      <c r="H100" t="s">
        <v>57</v>
      </c>
      <c r="I100" t="s">
        <v>58</v>
      </c>
      <c r="J100" t="s">
        <v>45</v>
      </c>
      <c r="K100">
        <v>3</v>
      </c>
    </row>
    <row r="101" spans="1:11" outlineLevel="2">
      <c r="C101" t="s">
        <v>831</v>
      </c>
      <c r="K101">
        <f>SUBTOTAL(3,K100:K100)</f>
        <v>1</v>
      </c>
    </row>
    <row r="102" spans="1:11" outlineLevel="1">
      <c r="C102" t="s">
        <v>656</v>
      </c>
      <c r="K102">
        <f>SUBTOTAL(9,K100:K100)</f>
        <v>3</v>
      </c>
    </row>
    <row r="103" spans="1:11" outlineLevel="3">
      <c r="A103" t="s">
        <v>37</v>
      </c>
      <c r="B103" t="s">
        <v>369</v>
      </c>
      <c r="C103" t="str">
        <f>CONCATENATE(E103,G103,I103,H103,J103)</f>
        <v>MV270FHB-NF1-4852ASMC1D</v>
      </c>
      <c r="D103" t="s">
        <v>370</v>
      </c>
      <c r="E103" t="s">
        <v>371</v>
      </c>
      <c r="F103" t="s">
        <v>55</v>
      </c>
      <c r="G103" t="s">
        <v>42</v>
      </c>
      <c r="H103" t="s">
        <v>43</v>
      </c>
      <c r="I103" t="s">
        <v>44</v>
      </c>
      <c r="J103" t="s">
        <v>45</v>
      </c>
      <c r="K103">
        <v>11</v>
      </c>
    </row>
    <row r="104" spans="1:11" outlineLevel="2">
      <c r="C104" t="s">
        <v>832</v>
      </c>
      <c r="K104">
        <f>SUBTOTAL(3,K103:K103)</f>
        <v>1</v>
      </c>
    </row>
    <row r="105" spans="1:11" outlineLevel="1">
      <c r="C105" t="s">
        <v>657</v>
      </c>
      <c r="K105">
        <f>SUBTOTAL(9,K103:K103)</f>
        <v>11</v>
      </c>
    </row>
    <row r="106" spans="1:11" outlineLevel="3">
      <c r="A106" t="s">
        <v>37</v>
      </c>
      <c r="B106" t="s">
        <v>375</v>
      </c>
      <c r="C106" t="str">
        <f>CONCATENATE(E106,G106,I106,H106,J106)</f>
        <v>MV270FHB-NF1-4852ANMC1D</v>
      </c>
      <c r="D106" t="s">
        <v>376</v>
      </c>
      <c r="E106" t="s">
        <v>371</v>
      </c>
      <c r="F106" t="s">
        <v>55</v>
      </c>
      <c r="G106" t="s">
        <v>42</v>
      </c>
      <c r="H106" t="s">
        <v>43</v>
      </c>
      <c r="I106" t="s">
        <v>51</v>
      </c>
      <c r="J106" t="s">
        <v>45</v>
      </c>
      <c r="K106">
        <v>2</v>
      </c>
    </row>
    <row r="107" spans="1:11" outlineLevel="2">
      <c r="C107" t="s">
        <v>833</v>
      </c>
      <c r="K107">
        <f>SUBTOTAL(3,K106:K106)</f>
        <v>1</v>
      </c>
    </row>
    <row r="108" spans="1:11" outlineLevel="1">
      <c r="C108" t="s">
        <v>658</v>
      </c>
      <c r="K108">
        <f>SUBTOTAL(9,K106:K106)</f>
        <v>2</v>
      </c>
    </row>
    <row r="109" spans="1:11" outlineLevel="3">
      <c r="A109" t="s">
        <v>37</v>
      </c>
      <c r="B109" t="s">
        <v>399</v>
      </c>
      <c r="C109" t="str">
        <f>CONCATENATE(E109,G109,I109,H109,J109)</f>
        <v>MV270FHB-NF1-4852ALMC1D</v>
      </c>
      <c r="D109" t="s">
        <v>400</v>
      </c>
      <c r="E109" t="s">
        <v>371</v>
      </c>
      <c r="F109" t="s">
        <v>55</v>
      </c>
      <c r="G109" t="s">
        <v>42</v>
      </c>
      <c r="H109" t="s">
        <v>43</v>
      </c>
      <c r="I109" t="s">
        <v>105</v>
      </c>
      <c r="J109" t="s">
        <v>45</v>
      </c>
      <c r="K109">
        <v>18</v>
      </c>
    </row>
    <row r="110" spans="1:11" outlineLevel="2">
      <c r="C110" t="s">
        <v>834</v>
      </c>
      <c r="K110">
        <f>SUBTOTAL(3,K109:K109)</f>
        <v>1</v>
      </c>
    </row>
    <row r="111" spans="1:11" outlineLevel="1">
      <c r="C111" t="s">
        <v>659</v>
      </c>
      <c r="K111">
        <f>SUBTOTAL(9,K109:K109)</f>
        <v>18</v>
      </c>
    </row>
    <row r="112" spans="1:11" outlineLevel="3">
      <c r="A112" t="s">
        <v>37</v>
      </c>
      <c r="B112" t="s">
        <v>413</v>
      </c>
      <c r="C112" t="str">
        <f>CONCATENATE(E112,G112,I112,H112,J112)</f>
        <v>MV270FHB-N42-4944FLJ96D</v>
      </c>
      <c r="D112" t="s">
        <v>414</v>
      </c>
      <c r="E112" t="s">
        <v>415</v>
      </c>
      <c r="F112" t="s">
        <v>55</v>
      </c>
      <c r="G112" t="s">
        <v>56</v>
      </c>
      <c r="H112" t="s">
        <v>57</v>
      </c>
      <c r="I112" t="s">
        <v>105</v>
      </c>
      <c r="J112" t="s">
        <v>45</v>
      </c>
      <c r="K112">
        <v>1</v>
      </c>
    </row>
    <row r="113" spans="1:11" outlineLevel="2">
      <c r="C113" t="s">
        <v>835</v>
      </c>
      <c r="K113">
        <f>SUBTOTAL(3,K112:K112)</f>
        <v>1</v>
      </c>
    </row>
    <row r="114" spans="1:11" outlineLevel="1">
      <c r="C114" t="s">
        <v>660</v>
      </c>
      <c r="K114">
        <f>SUBTOTAL(9,K112:K112)</f>
        <v>1</v>
      </c>
    </row>
    <row r="115" spans="1:11" outlineLevel="3">
      <c r="A115" t="s">
        <v>37</v>
      </c>
      <c r="B115" t="s">
        <v>429</v>
      </c>
      <c r="C115" t="str">
        <f>CONCATENATE(E115,G115,I115,H115,J115)</f>
        <v>MV270FHB-N42-4941FLJ96D</v>
      </c>
      <c r="D115" t="s">
        <v>430</v>
      </c>
      <c r="E115" t="s">
        <v>431</v>
      </c>
      <c r="F115" t="s">
        <v>55</v>
      </c>
      <c r="G115" t="s">
        <v>56</v>
      </c>
      <c r="H115" t="s">
        <v>57</v>
      </c>
      <c r="I115" t="s">
        <v>105</v>
      </c>
      <c r="J115" t="s">
        <v>45</v>
      </c>
      <c r="K115">
        <v>2</v>
      </c>
    </row>
    <row r="116" spans="1:11" outlineLevel="2">
      <c r="C116" t="s">
        <v>836</v>
      </c>
      <c r="K116">
        <f>SUBTOTAL(3,K115:K115)</f>
        <v>1</v>
      </c>
    </row>
    <row r="117" spans="1:11" outlineLevel="1">
      <c r="C117" t="s">
        <v>661</v>
      </c>
      <c r="K117">
        <f>SUBTOTAL(9,K115:K115)</f>
        <v>2</v>
      </c>
    </row>
    <row r="118" spans="1:11" outlineLevel="3">
      <c r="A118" t="s">
        <v>37</v>
      </c>
      <c r="B118" t="s">
        <v>426</v>
      </c>
      <c r="C118" t="str">
        <f>CONCATENATE(E118,G118,I118,H118,J118)</f>
        <v>MV270FHB-N42-4940FLJ96D</v>
      </c>
      <c r="D118" t="s">
        <v>427</v>
      </c>
      <c r="E118" t="s">
        <v>428</v>
      </c>
      <c r="F118" t="s">
        <v>55</v>
      </c>
      <c r="G118" t="s">
        <v>56</v>
      </c>
      <c r="H118" t="s">
        <v>57</v>
      </c>
      <c r="I118" t="s">
        <v>105</v>
      </c>
      <c r="J118" t="s">
        <v>45</v>
      </c>
      <c r="K118">
        <v>6</v>
      </c>
    </row>
    <row r="119" spans="1:11" outlineLevel="2">
      <c r="C119" t="s">
        <v>837</v>
      </c>
      <c r="K119">
        <f>SUBTOTAL(3,K118:K118)</f>
        <v>1</v>
      </c>
    </row>
    <row r="120" spans="1:11" outlineLevel="1">
      <c r="C120" t="s">
        <v>662</v>
      </c>
      <c r="K120">
        <f>SUBTOTAL(9,K118:K118)</f>
        <v>6</v>
      </c>
    </row>
    <row r="121" spans="1:11" outlineLevel="3">
      <c r="A121" t="s">
        <v>37</v>
      </c>
      <c r="B121" t="s">
        <v>423</v>
      </c>
      <c r="C121" t="str">
        <f>CONCATENATE(E121,G121,I121,H121,J121)</f>
        <v>MV270FHB-N42-4851FLJ96D</v>
      </c>
      <c r="D121" t="s">
        <v>424</v>
      </c>
      <c r="E121" t="s">
        <v>425</v>
      </c>
      <c r="F121" t="s">
        <v>55</v>
      </c>
      <c r="G121" t="s">
        <v>56</v>
      </c>
      <c r="H121" t="s">
        <v>57</v>
      </c>
      <c r="I121" t="s">
        <v>105</v>
      </c>
      <c r="J121" t="s">
        <v>45</v>
      </c>
      <c r="K121">
        <v>5</v>
      </c>
    </row>
    <row r="122" spans="1:11" outlineLevel="2">
      <c r="C122" t="s">
        <v>838</v>
      </c>
      <c r="K122">
        <f>SUBTOTAL(3,K121:K121)</f>
        <v>1</v>
      </c>
    </row>
    <row r="123" spans="1:11" outlineLevel="1">
      <c r="C123" t="s">
        <v>663</v>
      </c>
      <c r="K123">
        <f>SUBTOTAL(9,K121:K121)</f>
        <v>5</v>
      </c>
    </row>
    <row r="124" spans="1:11" outlineLevel="3">
      <c r="A124" t="s">
        <v>37</v>
      </c>
      <c r="B124" t="s">
        <v>447</v>
      </c>
      <c r="C124" t="str">
        <f>CONCATENATE(E124,G124,I124,H124,J124)</f>
        <v>MV270FHB-N40-494YFLJ96D</v>
      </c>
      <c r="D124" t="s">
        <v>448</v>
      </c>
      <c r="E124" t="s">
        <v>449</v>
      </c>
      <c r="F124" t="s">
        <v>55</v>
      </c>
      <c r="G124" t="s">
        <v>56</v>
      </c>
      <c r="H124" t="s">
        <v>57</v>
      </c>
      <c r="I124" t="s">
        <v>105</v>
      </c>
      <c r="J124" t="s">
        <v>45</v>
      </c>
      <c r="K124">
        <v>9</v>
      </c>
    </row>
    <row r="125" spans="1:11" outlineLevel="2">
      <c r="C125" t="s">
        <v>839</v>
      </c>
      <c r="K125">
        <f>SUBTOTAL(3,K124:K124)</f>
        <v>1</v>
      </c>
    </row>
    <row r="126" spans="1:11" outlineLevel="1">
      <c r="C126" t="s">
        <v>664</v>
      </c>
      <c r="K126">
        <f>SUBTOTAL(9,K124:K124)</f>
        <v>9</v>
      </c>
    </row>
    <row r="127" spans="1:11" outlineLevel="3">
      <c r="A127" t="s">
        <v>37</v>
      </c>
      <c r="B127" t="s">
        <v>443</v>
      </c>
      <c r="C127" t="str">
        <f>CONCATENATE(E127,G127,I127,H127,J127)</f>
        <v>MV270FHB-N40-4943FLJ96D</v>
      </c>
      <c r="D127" t="s">
        <v>444</v>
      </c>
      <c r="E127" t="s">
        <v>435</v>
      </c>
      <c r="F127" t="s">
        <v>55</v>
      </c>
      <c r="G127" t="s">
        <v>56</v>
      </c>
      <c r="H127" t="s">
        <v>57</v>
      </c>
      <c r="I127" t="s">
        <v>105</v>
      </c>
      <c r="J127" t="s">
        <v>45</v>
      </c>
      <c r="K127">
        <v>1</v>
      </c>
    </row>
    <row r="128" spans="1:11" outlineLevel="2">
      <c r="C128" t="s">
        <v>840</v>
      </c>
      <c r="K128">
        <f>SUBTOTAL(3,K127:K127)</f>
        <v>1</v>
      </c>
    </row>
    <row r="129" spans="1:12" outlineLevel="1">
      <c r="C129" t="s">
        <v>665</v>
      </c>
      <c r="K129">
        <f>SUBTOTAL(9,K127:K127)</f>
        <v>1</v>
      </c>
    </row>
    <row r="130" spans="1:12" outlineLevel="3">
      <c r="A130" t="s">
        <v>37</v>
      </c>
      <c r="B130" t="s">
        <v>89</v>
      </c>
      <c r="C130" t="str">
        <f>CONCATENATE(E130,G130,I130,H130,J130)</f>
        <v>MV240WUM-NX3-4D40TPM02D</v>
      </c>
      <c r="D130" t="s">
        <v>90</v>
      </c>
      <c r="E130" t="s">
        <v>49</v>
      </c>
      <c r="F130" t="s">
        <v>41</v>
      </c>
      <c r="G130" t="s">
        <v>91</v>
      </c>
      <c r="H130" t="s">
        <v>50</v>
      </c>
      <c r="I130" t="s">
        <v>92</v>
      </c>
      <c r="J130" t="s">
        <v>45</v>
      </c>
      <c r="K130">
        <v>5</v>
      </c>
      <c r="L130" t="s">
        <v>46</v>
      </c>
    </row>
    <row r="131" spans="1:12" outlineLevel="2">
      <c r="C131" t="s">
        <v>841</v>
      </c>
      <c r="K131">
        <f>SUBTOTAL(3,K130:K130)</f>
        <v>1</v>
      </c>
    </row>
    <row r="132" spans="1:12" outlineLevel="1">
      <c r="C132" t="s">
        <v>666</v>
      </c>
      <c r="K132">
        <f>SUBTOTAL(9,K130:K130)</f>
        <v>5</v>
      </c>
    </row>
    <row r="133" spans="1:12" outlineLevel="3">
      <c r="A133" t="s">
        <v>37</v>
      </c>
      <c r="B133" t="s">
        <v>95</v>
      </c>
      <c r="C133" t="str">
        <f>CONCATENATE(E133,G133,I133,H133,J133)</f>
        <v>MV240WUM-NX3-4D40Q0M02D</v>
      </c>
      <c r="D133" t="s">
        <v>96</v>
      </c>
      <c r="E133" t="s">
        <v>49</v>
      </c>
      <c r="F133" t="s">
        <v>41</v>
      </c>
      <c r="G133" t="s">
        <v>69</v>
      </c>
      <c r="H133" t="s">
        <v>50</v>
      </c>
      <c r="I133" t="s">
        <v>58</v>
      </c>
      <c r="J133" t="s">
        <v>45</v>
      </c>
      <c r="K133">
        <v>4</v>
      </c>
      <c r="L133" t="s">
        <v>46</v>
      </c>
    </row>
    <row r="134" spans="1:12" outlineLevel="2">
      <c r="C134" t="s">
        <v>842</v>
      </c>
      <c r="K134">
        <f>SUBTOTAL(3,K133:K133)</f>
        <v>1</v>
      </c>
    </row>
    <row r="135" spans="1:12" outlineLevel="1">
      <c r="C135" t="s">
        <v>667</v>
      </c>
      <c r="K135">
        <f>SUBTOTAL(9,K133:K133)</f>
        <v>4</v>
      </c>
    </row>
    <row r="136" spans="1:12" outlineLevel="3">
      <c r="A136" t="s">
        <v>37</v>
      </c>
      <c r="B136" t="s">
        <v>47</v>
      </c>
      <c r="C136" t="str">
        <f>CONCATENATE(E136,G136,I136,H136,J136)</f>
        <v>MV240WUM-NX3-4D40ANM02D</v>
      </c>
      <c r="D136" t="s">
        <v>48</v>
      </c>
      <c r="E136" t="s">
        <v>49</v>
      </c>
      <c r="F136" t="s">
        <v>41</v>
      </c>
      <c r="G136" t="s">
        <v>42</v>
      </c>
      <c r="H136" t="s">
        <v>50</v>
      </c>
      <c r="I136" t="s">
        <v>51</v>
      </c>
      <c r="J136" t="s">
        <v>45</v>
      </c>
      <c r="K136">
        <v>6</v>
      </c>
      <c r="L136" t="s">
        <v>46</v>
      </c>
    </row>
    <row r="137" spans="1:12" outlineLevel="2">
      <c r="C137" t="s">
        <v>843</v>
      </c>
      <c r="K137">
        <f>SUBTOTAL(3,K136:K136)</f>
        <v>1</v>
      </c>
    </row>
    <row r="138" spans="1:12" outlineLevel="1">
      <c r="C138" t="s">
        <v>668</v>
      </c>
      <c r="K138">
        <f>SUBTOTAL(9,K136:K136)</f>
        <v>6</v>
      </c>
    </row>
    <row r="139" spans="1:12" outlineLevel="3">
      <c r="A139" t="s">
        <v>37</v>
      </c>
      <c r="B139" t="s">
        <v>267</v>
      </c>
      <c r="C139" t="str">
        <f>CONCATENATE(E139,G139,I139,H139,J139)</f>
        <v>MV238QHM-NX2-D840FMJ97D</v>
      </c>
      <c r="D139" t="s">
        <v>268</v>
      </c>
      <c r="E139" t="s">
        <v>269</v>
      </c>
      <c r="F139" t="s">
        <v>41</v>
      </c>
      <c r="G139" t="s">
        <v>56</v>
      </c>
      <c r="H139" t="s">
        <v>175</v>
      </c>
      <c r="I139" t="s">
        <v>176</v>
      </c>
      <c r="J139" t="s">
        <v>45</v>
      </c>
      <c r="K139">
        <v>8</v>
      </c>
      <c r="L139" t="s">
        <v>46</v>
      </c>
    </row>
    <row r="140" spans="1:12" outlineLevel="2">
      <c r="C140" t="s">
        <v>844</v>
      </c>
      <c r="K140">
        <f>SUBTOTAL(3,K139:K139)</f>
        <v>1</v>
      </c>
    </row>
    <row r="141" spans="1:12" outlineLevel="1">
      <c r="C141" t="s">
        <v>669</v>
      </c>
      <c r="K141">
        <f>SUBTOTAL(9,K139:K139)</f>
        <v>8</v>
      </c>
    </row>
    <row r="142" spans="1:12" outlineLevel="3">
      <c r="A142" t="s">
        <v>37</v>
      </c>
      <c r="B142" t="s">
        <v>196</v>
      </c>
      <c r="C142" t="str">
        <f>CONCATENATE(E142,G142,I142,H142,J142)</f>
        <v>MV238QHM-NX0-485ZFLJ96D</v>
      </c>
      <c r="D142" t="s">
        <v>197</v>
      </c>
      <c r="E142" t="s">
        <v>198</v>
      </c>
      <c r="F142" t="s">
        <v>41</v>
      </c>
      <c r="G142" t="s">
        <v>56</v>
      </c>
      <c r="H142" t="s">
        <v>57</v>
      </c>
      <c r="I142" t="s">
        <v>105</v>
      </c>
      <c r="J142" t="s">
        <v>45</v>
      </c>
      <c r="K142">
        <v>6</v>
      </c>
      <c r="L142" t="s">
        <v>46</v>
      </c>
    </row>
    <row r="143" spans="1:12" outlineLevel="2">
      <c r="C143" t="s">
        <v>845</v>
      </c>
      <c r="K143">
        <f>SUBTOTAL(3,K142:K142)</f>
        <v>1</v>
      </c>
    </row>
    <row r="144" spans="1:12" outlineLevel="1">
      <c r="C144" t="s">
        <v>670</v>
      </c>
      <c r="K144">
        <f>SUBTOTAL(9,K142:K142)</f>
        <v>6</v>
      </c>
    </row>
    <row r="145" spans="1:12" outlineLevel="3">
      <c r="A145" t="s">
        <v>37</v>
      </c>
      <c r="B145" t="s">
        <v>382</v>
      </c>
      <c r="C145" t="str">
        <f>CONCATENATE(E145,G145,I145,H145,J145)</f>
        <v>MV238QHB-NX1-4851FLJ96D</v>
      </c>
      <c r="D145" t="s">
        <v>383</v>
      </c>
      <c r="E145" t="s">
        <v>384</v>
      </c>
      <c r="F145" t="s">
        <v>55</v>
      </c>
      <c r="G145" t="s">
        <v>56</v>
      </c>
      <c r="H145" t="s">
        <v>57</v>
      </c>
      <c r="I145" t="s">
        <v>105</v>
      </c>
      <c r="J145" t="s">
        <v>45</v>
      </c>
      <c r="K145">
        <v>1</v>
      </c>
    </row>
    <row r="146" spans="1:12" outlineLevel="2">
      <c r="C146" t="s">
        <v>846</v>
      </c>
      <c r="K146">
        <f>SUBTOTAL(3,K145:K145)</f>
        <v>1</v>
      </c>
    </row>
    <row r="147" spans="1:12" outlineLevel="1">
      <c r="C147" t="s">
        <v>671</v>
      </c>
      <c r="K147">
        <f>SUBTOTAL(9,K145:K145)</f>
        <v>1</v>
      </c>
    </row>
    <row r="148" spans="1:12" outlineLevel="3">
      <c r="A148" t="s">
        <v>37</v>
      </c>
      <c r="B148" t="s">
        <v>251</v>
      </c>
      <c r="C148" t="str">
        <f>CONCATENATE(E148,G148,I148,H148,J148)</f>
        <v>MV238QHB-N21-4850FLJ96D</v>
      </c>
      <c r="D148" t="s">
        <v>252</v>
      </c>
      <c r="E148" t="s">
        <v>253</v>
      </c>
      <c r="F148" t="s">
        <v>55</v>
      </c>
      <c r="G148" t="s">
        <v>56</v>
      </c>
      <c r="H148" t="s">
        <v>57</v>
      </c>
      <c r="I148" t="s">
        <v>105</v>
      </c>
      <c r="J148" t="s">
        <v>45</v>
      </c>
      <c r="K148">
        <v>2</v>
      </c>
      <c r="L148" t="s">
        <v>46</v>
      </c>
    </row>
    <row r="149" spans="1:12" outlineLevel="2">
      <c r="C149" t="s">
        <v>847</v>
      </c>
      <c r="K149">
        <f>SUBTOTAL(3,K148:K148)</f>
        <v>1</v>
      </c>
    </row>
    <row r="150" spans="1:12" outlineLevel="1">
      <c r="C150" t="s">
        <v>672</v>
      </c>
      <c r="K150">
        <f>SUBTOTAL(9,K148:K148)</f>
        <v>2</v>
      </c>
    </row>
    <row r="151" spans="1:12" outlineLevel="3">
      <c r="A151" t="s">
        <v>37</v>
      </c>
      <c r="B151" t="s">
        <v>440</v>
      </c>
      <c r="C151" t="str">
        <f>CONCATENATE(E151,G151,I151,H151,J151)</f>
        <v>MV238QHB-N13-4851ASMC1D</v>
      </c>
      <c r="D151" t="s">
        <v>441</v>
      </c>
      <c r="E151" t="s">
        <v>442</v>
      </c>
      <c r="F151" t="s">
        <v>55</v>
      </c>
      <c r="G151" t="s">
        <v>42</v>
      </c>
      <c r="H151" t="s">
        <v>43</v>
      </c>
      <c r="I151" t="s">
        <v>44</v>
      </c>
      <c r="J151" t="s">
        <v>45</v>
      </c>
      <c r="K151">
        <v>20</v>
      </c>
    </row>
    <row r="152" spans="1:12" outlineLevel="3">
      <c r="A152" t="s">
        <v>37</v>
      </c>
      <c r="B152" t="s">
        <v>452</v>
      </c>
      <c r="C152" t="str">
        <f>CONCATENATE(E152,G152,I152,H152,J152)</f>
        <v>MV238QHB-N13-4851ASMC1D</v>
      </c>
      <c r="D152" t="s">
        <v>453</v>
      </c>
      <c r="E152" t="s">
        <v>442</v>
      </c>
      <c r="F152" t="s">
        <v>55</v>
      </c>
      <c r="G152" t="s">
        <v>42</v>
      </c>
      <c r="H152" t="s">
        <v>43</v>
      </c>
      <c r="I152" t="s">
        <v>44</v>
      </c>
      <c r="J152" t="s">
        <v>45</v>
      </c>
      <c r="K152">
        <v>1</v>
      </c>
    </row>
    <row r="153" spans="1:12" outlineLevel="2">
      <c r="C153" t="s">
        <v>848</v>
      </c>
      <c r="K153">
        <f>SUBTOTAL(3,K151:K152)</f>
        <v>2</v>
      </c>
    </row>
    <row r="154" spans="1:12" outlineLevel="1">
      <c r="C154" t="s">
        <v>673</v>
      </c>
      <c r="K154">
        <f>SUBTOTAL(9,K151:K152)</f>
        <v>21</v>
      </c>
    </row>
    <row r="155" spans="1:12" outlineLevel="3">
      <c r="A155" t="s">
        <v>37</v>
      </c>
      <c r="B155" t="s">
        <v>106</v>
      </c>
      <c r="C155" t="str">
        <f>CONCATENATE(E155,G155,I155,H155,J155)</f>
        <v>MV238FHM-NG1-4M50F0J96D</v>
      </c>
      <c r="D155" t="s">
        <v>107</v>
      </c>
      <c r="E155" t="s">
        <v>108</v>
      </c>
      <c r="F155" t="s">
        <v>41</v>
      </c>
      <c r="G155" t="s">
        <v>56</v>
      </c>
      <c r="H155" t="s">
        <v>57</v>
      </c>
      <c r="I155" t="s">
        <v>58</v>
      </c>
      <c r="J155" t="s">
        <v>45</v>
      </c>
      <c r="K155">
        <v>9</v>
      </c>
      <c r="L155" t="s">
        <v>46</v>
      </c>
    </row>
    <row r="156" spans="1:12" outlineLevel="3">
      <c r="A156" t="s">
        <v>37</v>
      </c>
      <c r="B156" t="s">
        <v>111</v>
      </c>
      <c r="C156" t="str">
        <f>CONCATENATE(E156,G156,I156,H156,J156)</f>
        <v>MV238FHM-NG1-4M50F0J96D</v>
      </c>
      <c r="D156" t="s">
        <v>112</v>
      </c>
      <c r="E156" t="s">
        <v>108</v>
      </c>
      <c r="F156" t="s">
        <v>41</v>
      </c>
      <c r="G156" t="s">
        <v>56</v>
      </c>
      <c r="H156" t="s">
        <v>57</v>
      </c>
      <c r="I156" t="s">
        <v>58</v>
      </c>
      <c r="J156" t="s">
        <v>45</v>
      </c>
      <c r="K156">
        <v>7</v>
      </c>
      <c r="L156" t="s">
        <v>46</v>
      </c>
    </row>
    <row r="157" spans="1:12" outlineLevel="2">
      <c r="C157" t="s">
        <v>849</v>
      </c>
      <c r="K157">
        <f>SUBTOTAL(3,K155:K156)</f>
        <v>2</v>
      </c>
    </row>
    <row r="158" spans="1:12" outlineLevel="1">
      <c r="C158" t="s">
        <v>674</v>
      </c>
      <c r="K158">
        <f>SUBTOTAL(9,K155:K156)</f>
        <v>16</v>
      </c>
    </row>
    <row r="159" spans="1:12" outlineLevel="3">
      <c r="A159" t="s">
        <v>37</v>
      </c>
      <c r="B159" t="s">
        <v>207</v>
      </c>
      <c r="C159" t="str">
        <f>CONCATENATE(E159,G159,I159,H159,J159)</f>
        <v>MV238FHM-NG1-4940F0J96D</v>
      </c>
      <c r="D159" t="s">
        <v>208</v>
      </c>
      <c r="E159" t="s">
        <v>209</v>
      </c>
      <c r="F159" t="s">
        <v>41</v>
      </c>
      <c r="G159" t="s">
        <v>56</v>
      </c>
      <c r="H159" t="s">
        <v>57</v>
      </c>
      <c r="I159" t="s">
        <v>58</v>
      </c>
      <c r="J159" t="s">
        <v>45</v>
      </c>
      <c r="K159">
        <v>18</v>
      </c>
      <c r="L159" t="s">
        <v>46</v>
      </c>
    </row>
    <row r="160" spans="1:12" outlineLevel="2">
      <c r="C160" t="s">
        <v>850</v>
      </c>
      <c r="K160">
        <f>SUBTOTAL(3,K159:K159)</f>
        <v>1</v>
      </c>
    </row>
    <row r="161" spans="1:12" outlineLevel="1">
      <c r="C161" t="s">
        <v>675</v>
      </c>
      <c r="K161">
        <f>SUBTOTAL(9,K159:K159)</f>
        <v>18</v>
      </c>
    </row>
    <row r="162" spans="1:12" outlineLevel="3">
      <c r="A162" t="s">
        <v>37</v>
      </c>
      <c r="B162" t="s">
        <v>210</v>
      </c>
      <c r="C162" t="str">
        <f>CONCATENATE(E162,G162,I162,H162,J162)</f>
        <v>MV238FHM-NG0-4D40F0J96D</v>
      </c>
      <c r="D162" t="s">
        <v>211</v>
      </c>
      <c r="E162" t="s">
        <v>212</v>
      </c>
      <c r="F162" t="s">
        <v>41</v>
      </c>
      <c r="G162" t="s">
        <v>56</v>
      </c>
      <c r="H162" t="s">
        <v>57</v>
      </c>
      <c r="I162" t="s">
        <v>58</v>
      </c>
      <c r="J162" t="s">
        <v>45</v>
      </c>
      <c r="K162">
        <v>2</v>
      </c>
      <c r="L162" t="s">
        <v>46</v>
      </c>
    </row>
    <row r="163" spans="1:12" outlineLevel="2">
      <c r="C163" t="s">
        <v>851</v>
      </c>
      <c r="K163">
        <f>SUBTOTAL(3,K162:K162)</f>
        <v>1</v>
      </c>
    </row>
    <row r="164" spans="1:12" outlineLevel="1">
      <c r="C164" t="s">
        <v>676</v>
      </c>
      <c r="K164">
        <f>SUBTOTAL(9,K162:K162)</f>
        <v>2</v>
      </c>
    </row>
    <row r="165" spans="1:12" outlineLevel="3">
      <c r="A165" t="s">
        <v>37</v>
      </c>
      <c r="B165" t="s">
        <v>199</v>
      </c>
      <c r="C165" t="str">
        <f>CONCATENATE(E165,G165,I165,H165,J165)</f>
        <v>MV238FHM-NG0-4944F0J96D</v>
      </c>
      <c r="D165" t="s">
        <v>200</v>
      </c>
      <c r="E165" t="s">
        <v>201</v>
      </c>
      <c r="F165" t="s">
        <v>41</v>
      </c>
      <c r="G165" t="s">
        <v>56</v>
      </c>
      <c r="H165" t="s">
        <v>57</v>
      </c>
      <c r="I165" t="s">
        <v>58</v>
      </c>
      <c r="J165" t="s">
        <v>45</v>
      </c>
      <c r="K165">
        <v>2</v>
      </c>
      <c r="L165" t="s">
        <v>46</v>
      </c>
    </row>
    <row r="166" spans="1:12" outlineLevel="2">
      <c r="C166" t="s">
        <v>852</v>
      </c>
      <c r="K166">
        <f>SUBTOTAL(3,K165:K165)</f>
        <v>1</v>
      </c>
    </row>
    <row r="167" spans="1:12" outlineLevel="1">
      <c r="C167" t="s">
        <v>677</v>
      </c>
      <c r="K167">
        <f>SUBTOTAL(9,K165:K165)</f>
        <v>2</v>
      </c>
    </row>
    <row r="168" spans="1:12" outlineLevel="3">
      <c r="A168" t="s">
        <v>37</v>
      </c>
      <c r="B168" t="s">
        <v>470</v>
      </c>
      <c r="C168" t="str">
        <f>CONCATENATE(E168,G168,I168,H168,J168)</f>
        <v>MV238FHM-N62-4853FLJ96D</v>
      </c>
      <c r="D168" t="s">
        <v>471</v>
      </c>
      <c r="E168" t="s">
        <v>472</v>
      </c>
      <c r="F168" t="s">
        <v>41</v>
      </c>
      <c r="G168" t="s">
        <v>56</v>
      </c>
      <c r="H168" t="s">
        <v>57</v>
      </c>
      <c r="I168" t="s">
        <v>105</v>
      </c>
      <c r="J168" t="s">
        <v>45</v>
      </c>
      <c r="K168">
        <v>4</v>
      </c>
    </row>
    <row r="169" spans="1:12" outlineLevel="2">
      <c r="C169" t="s">
        <v>853</v>
      </c>
      <c r="K169">
        <f>SUBTOTAL(3,K168:K168)</f>
        <v>1</v>
      </c>
    </row>
    <row r="170" spans="1:12" outlineLevel="1">
      <c r="C170" t="s">
        <v>678</v>
      </c>
      <c r="K170">
        <f>SUBTOTAL(9,K168:K168)</f>
        <v>4</v>
      </c>
    </row>
    <row r="171" spans="1:12" outlineLevel="3">
      <c r="A171" t="s">
        <v>37</v>
      </c>
      <c r="B171" t="s">
        <v>147</v>
      </c>
      <c r="C171" t="str">
        <f>CONCATENATE(E171,G171,I171,H171,J171)</f>
        <v>MV238FHM-N52-4D50Q0MC1D</v>
      </c>
      <c r="D171" t="s">
        <v>148</v>
      </c>
      <c r="E171" t="s">
        <v>149</v>
      </c>
      <c r="F171" t="s">
        <v>41</v>
      </c>
      <c r="G171" t="s">
        <v>69</v>
      </c>
      <c r="H171" t="s">
        <v>43</v>
      </c>
      <c r="I171" t="s">
        <v>58</v>
      </c>
      <c r="J171" t="s">
        <v>45</v>
      </c>
      <c r="K171">
        <v>6</v>
      </c>
      <c r="L171" t="s">
        <v>46</v>
      </c>
    </row>
    <row r="172" spans="1:12" outlineLevel="2">
      <c r="C172" t="s">
        <v>854</v>
      </c>
      <c r="K172">
        <f>SUBTOTAL(3,K171:K171)</f>
        <v>1</v>
      </c>
    </row>
    <row r="173" spans="1:12" outlineLevel="1">
      <c r="C173" t="s">
        <v>679</v>
      </c>
      <c r="K173">
        <f>SUBTOTAL(9,K171:K171)</f>
        <v>6</v>
      </c>
    </row>
    <row r="174" spans="1:12" outlineLevel="3">
      <c r="A174" t="s">
        <v>37</v>
      </c>
      <c r="B174" t="s">
        <v>473</v>
      </c>
      <c r="C174" t="str">
        <f>CONCATENATE(E174,G174,I174,H174,J174)</f>
        <v>MV238FHM-N52-4D50FLJ96D</v>
      </c>
      <c r="D174" t="s">
        <v>474</v>
      </c>
      <c r="E174" t="s">
        <v>149</v>
      </c>
      <c r="F174" t="s">
        <v>41</v>
      </c>
      <c r="G174" t="s">
        <v>56</v>
      </c>
      <c r="H174" t="s">
        <v>57</v>
      </c>
      <c r="I174" t="s">
        <v>105</v>
      </c>
      <c r="J174" t="s">
        <v>45</v>
      </c>
      <c r="K174">
        <v>10</v>
      </c>
    </row>
    <row r="175" spans="1:12" outlineLevel="2">
      <c r="C175" t="s">
        <v>855</v>
      </c>
      <c r="K175">
        <f>SUBTOTAL(3,K174:K174)</f>
        <v>1</v>
      </c>
    </row>
    <row r="176" spans="1:12" outlineLevel="1">
      <c r="C176" t="s">
        <v>680</v>
      </c>
      <c r="K176">
        <f>SUBTOTAL(9,K174:K174)</f>
        <v>10</v>
      </c>
    </row>
    <row r="177" spans="1:12" outlineLevel="3">
      <c r="A177" t="s">
        <v>37</v>
      </c>
      <c r="B177" t="s">
        <v>216</v>
      </c>
      <c r="C177" t="str">
        <f>CONCATENATE(E177,G177,I177,H177,J177)</f>
        <v>MV238FHM-N51-4W50F0J96D</v>
      </c>
      <c r="D177" t="s">
        <v>217</v>
      </c>
      <c r="E177" t="s">
        <v>218</v>
      </c>
      <c r="F177" t="s">
        <v>41</v>
      </c>
      <c r="G177" t="s">
        <v>56</v>
      </c>
      <c r="H177" t="s">
        <v>57</v>
      </c>
      <c r="I177" t="s">
        <v>58</v>
      </c>
      <c r="J177" t="s">
        <v>45</v>
      </c>
      <c r="K177">
        <v>10</v>
      </c>
      <c r="L177" t="s">
        <v>46</v>
      </c>
    </row>
    <row r="178" spans="1:12" outlineLevel="2">
      <c r="C178" t="s">
        <v>856</v>
      </c>
      <c r="K178">
        <f>SUBTOTAL(3,K177:K177)</f>
        <v>1</v>
      </c>
    </row>
    <row r="179" spans="1:12" outlineLevel="1">
      <c r="C179" t="s">
        <v>681</v>
      </c>
      <c r="K179">
        <f>SUBTOTAL(9,K177:K177)</f>
        <v>10</v>
      </c>
    </row>
    <row r="180" spans="1:12" outlineLevel="3">
      <c r="A180" t="s">
        <v>37</v>
      </c>
      <c r="B180" t="s">
        <v>97</v>
      </c>
      <c r="C180" t="str">
        <f>CONCATENATE(E180,G180,I180,H180,J180)</f>
        <v>MV238FHM-K11-47M1F0J96D</v>
      </c>
      <c r="D180" t="s">
        <v>98</v>
      </c>
      <c r="E180" t="s">
        <v>99</v>
      </c>
      <c r="F180" t="s">
        <v>41</v>
      </c>
      <c r="G180" t="s">
        <v>56</v>
      </c>
      <c r="H180" t="s">
        <v>57</v>
      </c>
      <c r="I180" t="s">
        <v>58</v>
      </c>
      <c r="J180" t="s">
        <v>45</v>
      </c>
      <c r="K180">
        <v>4</v>
      </c>
      <c r="L180" t="s">
        <v>46</v>
      </c>
    </row>
    <row r="181" spans="1:12" outlineLevel="2">
      <c r="C181" t="s">
        <v>857</v>
      </c>
      <c r="K181">
        <f>SUBTOTAL(3,K180:K180)</f>
        <v>1</v>
      </c>
    </row>
    <row r="182" spans="1:12" outlineLevel="1">
      <c r="C182" t="s">
        <v>682</v>
      </c>
      <c r="K182">
        <f>SUBTOTAL(9,K180:K180)</f>
        <v>4</v>
      </c>
    </row>
    <row r="183" spans="1:12" outlineLevel="3">
      <c r="A183" t="s">
        <v>37</v>
      </c>
      <c r="B183" t="s">
        <v>459</v>
      </c>
      <c r="C183" t="str">
        <f>CONCATENATE(E183,G183,I183,H183,J183)</f>
        <v>MV238FHM-K10-47M1FLJ96D</v>
      </c>
      <c r="D183" t="s">
        <v>460</v>
      </c>
      <c r="E183" t="s">
        <v>461</v>
      </c>
      <c r="F183" t="s">
        <v>41</v>
      </c>
      <c r="G183" t="s">
        <v>56</v>
      </c>
      <c r="H183" t="s">
        <v>57</v>
      </c>
      <c r="I183" t="s">
        <v>105</v>
      </c>
      <c r="J183" t="s">
        <v>45</v>
      </c>
      <c r="K183">
        <v>10</v>
      </c>
    </row>
    <row r="184" spans="1:12" outlineLevel="2">
      <c r="C184" t="s">
        <v>858</v>
      </c>
      <c r="K184">
        <f>SUBTOTAL(3,K183:K183)</f>
        <v>1</v>
      </c>
    </row>
    <row r="185" spans="1:12" outlineLevel="1">
      <c r="C185" t="s">
        <v>683</v>
      </c>
      <c r="K185">
        <f>SUBTOTAL(9,K183:K183)</f>
        <v>10</v>
      </c>
    </row>
    <row r="186" spans="1:12" outlineLevel="3">
      <c r="A186" t="s">
        <v>37</v>
      </c>
      <c r="B186" t="s">
        <v>183</v>
      </c>
      <c r="C186" t="str">
        <f>CONCATENATE(E186,G186,I186,H186,J186)</f>
        <v>MV238FHM-K10-47M0FLJ96D</v>
      </c>
      <c r="D186" t="s">
        <v>184</v>
      </c>
      <c r="E186" t="s">
        <v>185</v>
      </c>
      <c r="F186" t="s">
        <v>41</v>
      </c>
      <c r="G186" t="s">
        <v>56</v>
      </c>
      <c r="H186" t="s">
        <v>57</v>
      </c>
      <c r="I186" t="s">
        <v>105</v>
      </c>
      <c r="J186" t="s">
        <v>45</v>
      </c>
      <c r="K186">
        <v>4</v>
      </c>
      <c r="L186" t="s">
        <v>46</v>
      </c>
    </row>
    <row r="187" spans="1:12" outlineLevel="2">
      <c r="C187" t="s">
        <v>859</v>
      </c>
      <c r="K187">
        <f>SUBTOTAL(3,K186:K186)</f>
        <v>1</v>
      </c>
    </row>
    <row r="188" spans="1:12" outlineLevel="1">
      <c r="C188" t="s">
        <v>684</v>
      </c>
      <c r="K188">
        <f>SUBTOTAL(9,K186:K186)</f>
        <v>4</v>
      </c>
    </row>
    <row r="189" spans="1:12" outlineLevel="3">
      <c r="A189" t="s">
        <v>37</v>
      </c>
      <c r="B189" t="s">
        <v>596</v>
      </c>
      <c r="C189" t="str">
        <f>CONCATENATE(E189,G189,I189,H189,J189)</f>
        <v>MV238FHB-NY1-4W50T0M02D</v>
      </c>
      <c r="D189" t="s">
        <v>597</v>
      </c>
      <c r="E189" t="s">
        <v>598</v>
      </c>
      <c r="F189" t="s">
        <v>55</v>
      </c>
      <c r="G189" t="s">
        <v>91</v>
      </c>
      <c r="H189" t="s">
        <v>50</v>
      </c>
      <c r="I189" t="s">
        <v>58</v>
      </c>
      <c r="J189" t="s">
        <v>45</v>
      </c>
      <c r="K189">
        <v>4</v>
      </c>
    </row>
    <row r="190" spans="1:12" outlineLevel="2">
      <c r="C190" t="s">
        <v>860</v>
      </c>
      <c r="K190">
        <f>SUBTOTAL(3,K189:K189)</f>
        <v>1</v>
      </c>
    </row>
    <row r="191" spans="1:12" outlineLevel="1">
      <c r="C191" t="s">
        <v>685</v>
      </c>
      <c r="K191">
        <f>SUBTOTAL(9,K189:K189)</f>
        <v>4</v>
      </c>
    </row>
    <row r="192" spans="1:12" outlineLevel="3">
      <c r="A192" t="s">
        <v>37</v>
      </c>
      <c r="B192" t="s">
        <v>432</v>
      </c>
      <c r="C192" t="str">
        <f>CONCATENATE(E192,G192,I192,H192,J192)</f>
        <v>MV238FHB-NX5-D850F0J96D</v>
      </c>
      <c r="D192" t="s">
        <v>433</v>
      </c>
      <c r="E192" t="s">
        <v>434</v>
      </c>
      <c r="F192" t="s">
        <v>55</v>
      </c>
      <c r="G192" t="s">
        <v>56</v>
      </c>
      <c r="H192" t="s">
        <v>57</v>
      </c>
      <c r="I192" t="s">
        <v>58</v>
      </c>
      <c r="J192" t="s">
        <v>45</v>
      </c>
      <c r="K192">
        <v>8</v>
      </c>
    </row>
    <row r="193" spans="1:12" outlineLevel="2">
      <c r="C193" t="s">
        <v>861</v>
      </c>
      <c r="K193">
        <f>SUBTOTAL(3,K192:K192)</f>
        <v>1</v>
      </c>
    </row>
    <row r="194" spans="1:12" outlineLevel="1">
      <c r="C194" t="s">
        <v>686</v>
      </c>
      <c r="K194">
        <f>SUBTOTAL(9,K192:K192)</f>
        <v>8</v>
      </c>
    </row>
    <row r="195" spans="1:12" outlineLevel="3">
      <c r="A195" t="s">
        <v>37</v>
      </c>
      <c r="B195" t="s">
        <v>170</v>
      </c>
      <c r="C195" t="str">
        <f>CONCATENATE(E195,G195,I195,H195,J195)</f>
        <v>MV238FHB-NF1-4853Q0M01D</v>
      </c>
      <c r="D195" t="s">
        <v>171</v>
      </c>
      <c r="E195" t="s">
        <v>172</v>
      </c>
      <c r="F195" t="s">
        <v>55</v>
      </c>
      <c r="G195" t="s">
        <v>69</v>
      </c>
      <c r="H195" t="s">
        <v>61</v>
      </c>
      <c r="I195" t="s">
        <v>58</v>
      </c>
      <c r="J195" t="s">
        <v>45</v>
      </c>
      <c r="K195">
        <v>2</v>
      </c>
      <c r="L195" t="s">
        <v>46</v>
      </c>
    </row>
    <row r="196" spans="1:12" outlineLevel="2">
      <c r="C196" t="s">
        <v>862</v>
      </c>
      <c r="K196">
        <f>SUBTOTAL(3,K195:K195)</f>
        <v>1</v>
      </c>
    </row>
    <row r="197" spans="1:12" outlineLevel="1">
      <c r="C197" t="s">
        <v>687</v>
      </c>
      <c r="K197">
        <f>SUBTOTAL(9,K195:K195)</f>
        <v>2</v>
      </c>
    </row>
    <row r="198" spans="1:12" outlineLevel="3">
      <c r="A198" t="s">
        <v>37</v>
      </c>
      <c r="B198" t="s">
        <v>173</v>
      </c>
      <c r="C198" t="str">
        <f>CONCATENATE(E198,G198,I198,H198,J198)</f>
        <v>MV238FHB-NF1-4853FMJ97D</v>
      </c>
      <c r="D198" t="s">
        <v>174</v>
      </c>
      <c r="E198" t="s">
        <v>172</v>
      </c>
      <c r="F198" t="s">
        <v>55</v>
      </c>
      <c r="G198" t="s">
        <v>56</v>
      </c>
      <c r="H198" t="s">
        <v>175</v>
      </c>
      <c r="I198" t="s">
        <v>176</v>
      </c>
      <c r="J198" t="s">
        <v>45</v>
      </c>
      <c r="K198">
        <v>1</v>
      </c>
      <c r="L198" t="s">
        <v>46</v>
      </c>
    </row>
    <row r="199" spans="1:12" outlineLevel="2">
      <c r="C199" t="s">
        <v>863</v>
      </c>
      <c r="K199">
        <f>SUBTOTAL(3,K198:K198)</f>
        <v>1</v>
      </c>
    </row>
    <row r="200" spans="1:12" outlineLevel="1">
      <c r="C200" t="s">
        <v>688</v>
      </c>
      <c r="K200">
        <f>SUBTOTAL(9,K198:K198)</f>
        <v>1</v>
      </c>
    </row>
    <row r="201" spans="1:12" outlineLevel="3">
      <c r="A201" t="s">
        <v>37</v>
      </c>
      <c r="B201" t="s">
        <v>388</v>
      </c>
      <c r="C201" t="str">
        <f>CONCATENATE(E201,G201,I201,H201,J201)</f>
        <v>MV238FHB-NF1-4853FLJ96D</v>
      </c>
      <c r="D201" t="s">
        <v>389</v>
      </c>
      <c r="E201" t="s">
        <v>172</v>
      </c>
      <c r="F201" t="s">
        <v>55</v>
      </c>
      <c r="G201" t="s">
        <v>56</v>
      </c>
      <c r="H201" t="s">
        <v>57</v>
      </c>
      <c r="I201" t="s">
        <v>105</v>
      </c>
      <c r="J201" t="s">
        <v>45</v>
      </c>
      <c r="K201">
        <v>13</v>
      </c>
    </row>
    <row r="202" spans="1:12" outlineLevel="2">
      <c r="C202" t="s">
        <v>864</v>
      </c>
      <c r="K202">
        <f>SUBTOTAL(3,K201:K201)</f>
        <v>1</v>
      </c>
    </row>
    <row r="203" spans="1:12" outlineLevel="1">
      <c r="C203" t="s">
        <v>689</v>
      </c>
      <c r="K203">
        <f>SUBTOTAL(9,K201:K201)</f>
        <v>13</v>
      </c>
    </row>
    <row r="204" spans="1:12" outlineLevel="3">
      <c r="A204" t="s">
        <v>37</v>
      </c>
      <c r="B204" t="s">
        <v>276</v>
      </c>
      <c r="C204" t="str">
        <f>CONCATENATE(E204,G204,I204,H204,J204)</f>
        <v>MV238FHB-NF1-4853F0J96D</v>
      </c>
      <c r="D204" t="s">
        <v>277</v>
      </c>
      <c r="E204" t="s">
        <v>172</v>
      </c>
      <c r="F204" t="s">
        <v>55</v>
      </c>
      <c r="G204" t="s">
        <v>56</v>
      </c>
      <c r="H204" t="s">
        <v>57</v>
      </c>
      <c r="I204" t="s">
        <v>58</v>
      </c>
      <c r="J204" t="s">
        <v>45</v>
      </c>
      <c r="K204">
        <v>1</v>
      </c>
      <c r="L204" t="s">
        <v>46</v>
      </c>
    </row>
    <row r="205" spans="1:12" outlineLevel="2">
      <c r="C205" t="s">
        <v>865</v>
      </c>
      <c r="K205">
        <f>SUBTOTAL(3,K204:K204)</f>
        <v>1</v>
      </c>
    </row>
    <row r="206" spans="1:12" outlineLevel="1">
      <c r="C206" t="s">
        <v>690</v>
      </c>
      <c r="K206">
        <f>SUBTOTAL(9,K204:K204)</f>
        <v>1</v>
      </c>
    </row>
    <row r="207" spans="1:12" outlineLevel="3">
      <c r="A207" t="s">
        <v>37</v>
      </c>
      <c r="B207" t="s">
        <v>270</v>
      </c>
      <c r="C207" t="str">
        <f>CONCATENATE(E207,G207,I207,H207,J207)</f>
        <v>MV238FHB-NF1-4853AXM01D</v>
      </c>
      <c r="D207" t="s">
        <v>271</v>
      </c>
      <c r="E207" t="s">
        <v>172</v>
      </c>
      <c r="F207" t="s">
        <v>55</v>
      </c>
      <c r="G207" t="s">
        <v>42</v>
      </c>
      <c r="H207" t="s">
        <v>61</v>
      </c>
      <c r="I207" t="s">
        <v>262</v>
      </c>
      <c r="J207" t="s">
        <v>45</v>
      </c>
      <c r="K207">
        <v>14</v>
      </c>
      <c r="L207" t="s">
        <v>46</v>
      </c>
    </row>
    <row r="208" spans="1:12" outlineLevel="3">
      <c r="A208" t="s">
        <v>37</v>
      </c>
      <c r="B208" t="s">
        <v>278</v>
      </c>
      <c r="C208" t="str">
        <f>CONCATENATE(E208,G208,I208,H208,J208)</f>
        <v>MV238FHB-NF1-4853AXM01D</v>
      </c>
      <c r="D208" t="s">
        <v>279</v>
      </c>
      <c r="E208" t="s">
        <v>172</v>
      </c>
      <c r="F208" t="s">
        <v>55</v>
      </c>
      <c r="G208" t="s">
        <v>42</v>
      </c>
      <c r="H208" t="s">
        <v>61</v>
      </c>
      <c r="I208" t="s">
        <v>262</v>
      </c>
      <c r="J208" t="s">
        <v>45</v>
      </c>
      <c r="K208">
        <v>14</v>
      </c>
      <c r="L208" t="s">
        <v>46</v>
      </c>
    </row>
    <row r="209" spans="1:12" outlineLevel="2">
      <c r="C209" t="s">
        <v>866</v>
      </c>
      <c r="K209">
        <f>SUBTOTAL(3,K207:K208)</f>
        <v>2</v>
      </c>
    </row>
    <row r="210" spans="1:12" outlineLevel="1">
      <c r="C210" t="s">
        <v>691</v>
      </c>
      <c r="K210">
        <f>SUBTOTAL(9,K207:K208)</f>
        <v>28</v>
      </c>
    </row>
    <row r="211" spans="1:12" outlineLevel="3">
      <c r="A211" t="s">
        <v>37</v>
      </c>
      <c r="B211" t="s">
        <v>622</v>
      </c>
      <c r="C211" t="str">
        <f>CONCATENATE(E211,G211,I211,H211,J211)</f>
        <v>MV238FHB-N53-4W40FLJ96D</v>
      </c>
      <c r="D211" t="s">
        <v>623</v>
      </c>
      <c r="E211" t="s">
        <v>81</v>
      </c>
      <c r="F211" t="s">
        <v>55</v>
      </c>
      <c r="G211" t="s">
        <v>56</v>
      </c>
      <c r="H211" t="s">
        <v>57</v>
      </c>
      <c r="I211" t="s">
        <v>105</v>
      </c>
      <c r="J211" t="s">
        <v>45</v>
      </c>
      <c r="K211">
        <v>19</v>
      </c>
    </row>
    <row r="212" spans="1:12" outlineLevel="2">
      <c r="C212" t="s">
        <v>867</v>
      </c>
      <c r="K212">
        <f>SUBTOTAL(3,K211:K211)</f>
        <v>1</v>
      </c>
    </row>
    <row r="213" spans="1:12" outlineLevel="1">
      <c r="C213" t="s">
        <v>692</v>
      </c>
      <c r="K213">
        <f>SUBTOTAL(9,K211:K211)</f>
        <v>19</v>
      </c>
    </row>
    <row r="214" spans="1:12" outlineLevel="3">
      <c r="A214" t="s">
        <v>37</v>
      </c>
      <c r="B214" t="s">
        <v>79</v>
      </c>
      <c r="C214" t="str">
        <f>CONCATENATE(E214,G214,I214,H214,J214)</f>
        <v>MV238FHB-N53-4W40F0J96D</v>
      </c>
      <c r="D214" t="s">
        <v>80</v>
      </c>
      <c r="E214" t="s">
        <v>81</v>
      </c>
      <c r="F214" t="s">
        <v>55</v>
      </c>
      <c r="G214" t="s">
        <v>56</v>
      </c>
      <c r="H214" t="s">
        <v>57</v>
      </c>
      <c r="I214" t="s">
        <v>58</v>
      </c>
      <c r="J214" t="s">
        <v>45</v>
      </c>
      <c r="K214">
        <v>4</v>
      </c>
      <c r="L214" t="s">
        <v>46</v>
      </c>
    </row>
    <row r="215" spans="1:12" outlineLevel="2">
      <c r="C215" t="s">
        <v>868</v>
      </c>
      <c r="K215">
        <f>SUBTOTAL(3,K214:K214)</f>
        <v>1</v>
      </c>
    </row>
    <row r="216" spans="1:12" outlineLevel="1">
      <c r="C216" t="s">
        <v>693</v>
      </c>
      <c r="K216">
        <f>SUBTOTAL(9,K214:K214)</f>
        <v>4</v>
      </c>
    </row>
    <row r="217" spans="1:12" outlineLevel="3">
      <c r="A217" t="s">
        <v>37</v>
      </c>
      <c r="B217" t="s">
        <v>390</v>
      </c>
      <c r="C217" t="str">
        <f>CONCATENATE(E217,G217,I217,H217,J217)</f>
        <v>MV238FHB-N52-4D50FLJ96D</v>
      </c>
      <c r="D217" t="s">
        <v>391</v>
      </c>
      <c r="E217" t="s">
        <v>75</v>
      </c>
      <c r="F217" t="s">
        <v>55</v>
      </c>
      <c r="G217" t="s">
        <v>56</v>
      </c>
      <c r="H217" t="s">
        <v>57</v>
      </c>
      <c r="I217" t="s">
        <v>105</v>
      </c>
      <c r="J217" t="s">
        <v>45</v>
      </c>
      <c r="K217">
        <v>2</v>
      </c>
    </row>
    <row r="218" spans="1:12" outlineLevel="2">
      <c r="C218" t="s">
        <v>869</v>
      </c>
      <c r="K218">
        <f>SUBTOTAL(3,K217:K217)</f>
        <v>1</v>
      </c>
    </row>
    <row r="219" spans="1:12" outlineLevel="1">
      <c r="C219" t="s">
        <v>694</v>
      </c>
      <c r="K219">
        <f>SUBTOTAL(9,K217:K217)</f>
        <v>2</v>
      </c>
    </row>
    <row r="220" spans="1:12" outlineLevel="3">
      <c r="A220" t="s">
        <v>37</v>
      </c>
      <c r="B220" t="s">
        <v>73</v>
      </c>
      <c r="C220" t="str">
        <f>CONCATENATE(E220,G220,I220,H220,J220)</f>
        <v>MV238FHB-N52-4D50F0J96D</v>
      </c>
      <c r="D220" t="s">
        <v>74</v>
      </c>
      <c r="E220" t="s">
        <v>75</v>
      </c>
      <c r="F220" t="s">
        <v>55</v>
      </c>
      <c r="G220" t="s">
        <v>56</v>
      </c>
      <c r="H220" t="s">
        <v>57</v>
      </c>
      <c r="I220" t="s">
        <v>58</v>
      </c>
      <c r="J220" t="s">
        <v>45</v>
      </c>
      <c r="K220">
        <v>1</v>
      </c>
      <c r="L220" t="s">
        <v>46</v>
      </c>
    </row>
    <row r="221" spans="1:12" outlineLevel="2">
      <c r="C221" t="s">
        <v>870</v>
      </c>
      <c r="K221">
        <f>SUBTOTAL(3,K220:K220)</f>
        <v>1</v>
      </c>
    </row>
    <row r="222" spans="1:12" outlineLevel="1">
      <c r="C222" t="s">
        <v>695</v>
      </c>
      <c r="K222">
        <f>SUBTOTAL(9,K220:K220)</f>
        <v>1</v>
      </c>
    </row>
    <row r="223" spans="1:12" outlineLevel="3">
      <c r="A223" t="s">
        <v>37</v>
      </c>
      <c r="B223" t="s">
        <v>397</v>
      </c>
      <c r="C223" t="str">
        <f>CONCATENATE(E223,G223,I223,H223,J223)</f>
        <v>MV238FHB-N51-4W50Q0MC1D</v>
      </c>
      <c r="D223" t="s">
        <v>398</v>
      </c>
      <c r="E223" t="s">
        <v>231</v>
      </c>
      <c r="F223" t="s">
        <v>55</v>
      </c>
      <c r="G223" t="s">
        <v>69</v>
      </c>
      <c r="H223" t="s">
        <v>43</v>
      </c>
      <c r="I223" t="s">
        <v>58</v>
      </c>
      <c r="J223" t="s">
        <v>45</v>
      </c>
      <c r="K223">
        <v>7</v>
      </c>
    </row>
    <row r="224" spans="1:12" outlineLevel="2">
      <c r="C224" t="s">
        <v>871</v>
      </c>
      <c r="K224">
        <f>SUBTOTAL(3,K223:K223)</f>
        <v>1</v>
      </c>
    </row>
    <row r="225" spans="1:12" outlineLevel="1">
      <c r="C225" t="s">
        <v>696</v>
      </c>
      <c r="K225">
        <f>SUBTOTAL(9,K223:K223)</f>
        <v>7</v>
      </c>
    </row>
    <row r="226" spans="1:12" outlineLevel="3">
      <c r="A226" t="s">
        <v>37</v>
      </c>
      <c r="B226" t="s">
        <v>232</v>
      </c>
      <c r="C226" t="str">
        <f>CONCATENATE(E226,G226,I226,H226,J226)</f>
        <v>MV238FHB-N51-4W50FLJ96D</v>
      </c>
      <c r="D226" t="s">
        <v>233</v>
      </c>
      <c r="E226" t="s">
        <v>231</v>
      </c>
      <c r="F226" t="s">
        <v>55</v>
      </c>
      <c r="G226" t="s">
        <v>56</v>
      </c>
      <c r="H226" t="s">
        <v>57</v>
      </c>
      <c r="I226" t="s">
        <v>105</v>
      </c>
      <c r="J226" t="s">
        <v>45</v>
      </c>
      <c r="K226">
        <v>8</v>
      </c>
      <c r="L226" t="s">
        <v>46</v>
      </c>
    </row>
    <row r="227" spans="1:12" outlineLevel="2">
      <c r="C227" t="s">
        <v>872</v>
      </c>
      <c r="K227">
        <f>SUBTOTAL(3,K226:K226)</f>
        <v>1</v>
      </c>
    </row>
    <row r="228" spans="1:12" outlineLevel="1">
      <c r="C228" t="s">
        <v>697</v>
      </c>
      <c r="K228">
        <f>SUBTOTAL(9,K226:K226)</f>
        <v>8</v>
      </c>
    </row>
    <row r="229" spans="1:12" outlineLevel="3">
      <c r="A229" t="s">
        <v>37</v>
      </c>
      <c r="B229" t="s">
        <v>610</v>
      </c>
      <c r="C229" t="str">
        <f>CONCATENATE(E229,G229,I229,H229,J229)</f>
        <v>MV238FHB-N51-4D51FLJ96D</v>
      </c>
      <c r="D229" t="s">
        <v>611</v>
      </c>
      <c r="E229" t="s">
        <v>609</v>
      </c>
      <c r="F229" t="s">
        <v>55</v>
      </c>
      <c r="G229" t="s">
        <v>56</v>
      </c>
      <c r="H229" t="s">
        <v>57</v>
      </c>
      <c r="I229" t="s">
        <v>105</v>
      </c>
      <c r="J229" t="s">
        <v>45</v>
      </c>
      <c r="K229">
        <v>7</v>
      </c>
    </row>
    <row r="230" spans="1:12" outlineLevel="2">
      <c r="C230" t="s">
        <v>873</v>
      </c>
      <c r="K230">
        <f>SUBTOTAL(3,K229:K229)</f>
        <v>1</v>
      </c>
    </row>
    <row r="231" spans="1:12" outlineLevel="1">
      <c r="C231" t="s">
        <v>698</v>
      </c>
      <c r="K231">
        <f>SUBTOTAL(9,K229:K229)</f>
        <v>7</v>
      </c>
    </row>
    <row r="232" spans="1:12" outlineLevel="3">
      <c r="A232" t="s">
        <v>37</v>
      </c>
      <c r="B232" t="s">
        <v>464</v>
      </c>
      <c r="C232" t="str">
        <f>CONCATENATE(E232,G232,I232,H232,J232)</f>
        <v>MV238FHB-N50-4943FLJ96D</v>
      </c>
      <c r="D232" t="s">
        <v>465</v>
      </c>
      <c r="E232" t="s">
        <v>466</v>
      </c>
      <c r="F232" t="s">
        <v>55</v>
      </c>
      <c r="G232" t="s">
        <v>56</v>
      </c>
      <c r="H232" t="s">
        <v>57</v>
      </c>
      <c r="I232" t="s">
        <v>105</v>
      </c>
      <c r="J232" t="s">
        <v>45</v>
      </c>
      <c r="K232">
        <v>2</v>
      </c>
    </row>
    <row r="233" spans="1:12" outlineLevel="2">
      <c r="C233" t="s">
        <v>874</v>
      </c>
      <c r="K233">
        <f>SUBTOTAL(3,K232:K232)</f>
        <v>1</v>
      </c>
    </row>
    <row r="234" spans="1:12" outlineLevel="1">
      <c r="C234" t="s">
        <v>699</v>
      </c>
      <c r="K234">
        <f>SUBTOTAL(9,K232:K232)</f>
        <v>2</v>
      </c>
    </row>
    <row r="235" spans="1:12" outlineLevel="3">
      <c r="A235" t="s">
        <v>37</v>
      </c>
      <c r="B235" t="s">
        <v>121</v>
      </c>
      <c r="C235" t="str">
        <f>CONCATENATE(E235,G235,I235,H235,J235)</f>
        <v>MV238FHB-K11-47M0F0J96D</v>
      </c>
      <c r="D235" t="s">
        <v>122</v>
      </c>
      <c r="E235" t="s">
        <v>123</v>
      </c>
      <c r="F235" t="s">
        <v>55</v>
      </c>
      <c r="G235" t="s">
        <v>56</v>
      </c>
      <c r="H235" t="s">
        <v>57</v>
      </c>
      <c r="I235" t="s">
        <v>58</v>
      </c>
      <c r="J235" t="s">
        <v>45</v>
      </c>
      <c r="K235">
        <v>11</v>
      </c>
      <c r="L235" t="s">
        <v>46</v>
      </c>
    </row>
    <row r="236" spans="1:12" outlineLevel="2">
      <c r="C236" t="s">
        <v>875</v>
      </c>
      <c r="K236">
        <f>SUBTOTAL(3,K235:K235)</f>
        <v>1</v>
      </c>
    </row>
    <row r="237" spans="1:12" outlineLevel="1">
      <c r="C237" t="s">
        <v>700</v>
      </c>
      <c r="K237">
        <f>SUBTOTAL(9,K235:K235)</f>
        <v>11</v>
      </c>
    </row>
    <row r="238" spans="1:12" outlineLevel="3">
      <c r="A238" t="s">
        <v>37</v>
      </c>
      <c r="B238" t="s">
        <v>401</v>
      </c>
      <c r="C238" t="str">
        <f>CONCATENATE(E238,G238,I238,H238,J238)</f>
        <v>MV238FHB-K11-47M0ASM08D</v>
      </c>
      <c r="D238" t="s">
        <v>402</v>
      </c>
      <c r="E238" t="s">
        <v>123</v>
      </c>
      <c r="F238" t="s">
        <v>55</v>
      </c>
      <c r="G238" t="s">
        <v>42</v>
      </c>
      <c r="H238" t="s">
        <v>65</v>
      </c>
      <c r="I238" t="s">
        <v>44</v>
      </c>
      <c r="J238" t="s">
        <v>45</v>
      </c>
      <c r="K238">
        <v>7</v>
      </c>
    </row>
    <row r="239" spans="1:12" outlineLevel="2">
      <c r="C239" t="s">
        <v>876</v>
      </c>
      <c r="K239">
        <f>SUBTOTAL(3,K238:K238)</f>
        <v>1</v>
      </c>
    </row>
    <row r="240" spans="1:12" outlineLevel="1">
      <c r="C240" t="s">
        <v>701</v>
      </c>
      <c r="K240">
        <f>SUBTOTAL(9,K238:K238)</f>
        <v>7</v>
      </c>
    </row>
    <row r="241" spans="1:12" outlineLevel="3">
      <c r="A241" t="s">
        <v>37</v>
      </c>
      <c r="B241" t="s">
        <v>377</v>
      </c>
      <c r="C241" t="str">
        <f>CONCATENATE(E241,G241,I241,H241,J241)</f>
        <v>MV238FHB-K11-47M0ANM08D</v>
      </c>
      <c r="D241" t="s">
        <v>378</v>
      </c>
      <c r="E241" t="s">
        <v>123</v>
      </c>
      <c r="F241" t="s">
        <v>55</v>
      </c>
      <c r="G241" t="s">
        <v>42</v>
      </c>
      <c r="H241" t="s">
        <v>65</v>
      </c>
      <c r="I241" t="s">
        <v>51</v>
      </c>
      <c r="J241" t="s">
        <v>45</v>
      </c>
      <c r="K241">
        <v>3</v>
      </c>
    </row>
    <row r="242" spans="1:12" outlineLevel="2">
      <c r="C242" t="s">
        <v>877</v>
      </c>
      <c r="K242">
        <f>SUBTOTAL(3,K241:K241)</f>
        <v>1</v>
      </c>
    </row>
    <row r="243" spans="1:12" outlineLevel="1">
      <c r="C243" t="s">
        <v>702</v>
      </c>
      <c r="K243">
        <f>SUBTOTAL(9,K241:K241)</f>
        <v>3</v>
      </c>
    </row>
    <row r="244" spans="1:12" outlineLevel="3">
      <c r="A244" t="s">
        <v>37</v>
      </c>
      <c r="B244" t="s">
        <v>386</v>
      </c>
      <c r="C244" t="str">
        <f>CONCATENATE(E244,G244,I244,H244,J244)</f>
        <v>MV238FHB-K10-47M5FLJ96D</v>
      </c>
      <c r="D244" t="s">
        <v>387</v>
      </c>
      <c r="E244" t="s">
        <v>102</v>
      </c>
      <c r="F244" t="s">
        <v>55</v>
      </c>
      <c r="G244" t="s">
        <v>56</v>
      </c>
      <c r="H244" t="s">
        <v>57</v>
      </c>
      <c r="I244" t="s">
        <v>105</v>
      </c>
      <c r="J244" t="s">
        <v>45</v>
      </c>
      <c r="K244">
        <v>5</v>
      </c>
    </row>
    <row r="245" spans="1:12" outlineLevel="2">
      <c r="C245" t="s">
        <v>878</v>
      </c>
      <c r="K245">
        <f>SUBTOTAL(3,K244:K244)</f>
        <v>1</v>
      </c>
    </row>
    <row r="246" spans="1:12" outlineLevel="1">
      <c r="C246" t="s">
        <v>703</v>
      </c>
      <c r="K246">
        <f>SUBTOTAL(9,K244:K244)</f>
        <v>5</v>
      </c>
    </row>
    <row r="247" spans="1:12" outlineLevel="3">
      <c r="A247" t="s">
        <v>37</v>
      </c>
      <c r="B247" t="s">
        <v>100</v>
      </c>
      <c r="C247" t="str">
        <f>CONCATENATE(E247,G247,I247,H247,J247)</f>
        <v>MV238FHB-K10-47M5F0J96D</v>
      </c>
      <c r="D247" t="s">
        <v>101</v>
      </c>
      <c r="E247" t="s">
        <v>102</v>
      </c>
      <c r="F247" t="s">
        <v>55</v>
      </c>
      <c r="G247" t="s">
        <v>56</v>
      </c>
      <c r="H247" t="s">
        <v>57</v>
      </c>
      <c r="I247" t="s">
        <v>58</v>
      </c>
      <c r="J247" t="s">
        <v>45</v>
      </c>
      <c r="K247">
        <v>8</v>
      </c>
      <c r="L247" t="s">
        <v>46</v>
      </c>
    </row>
    <row r="248" spans="1:12" outlineLevel="2">
      <c r="C248" t="s">
        <v>879</v>
      </c>
      <c r="K248">
        <f>SUBTOTAL(3,K247:K247)</f>
        <v>1</v>
      </c>
    </row>
    <row r="249" spans="1:12" outlineLevel="1">
      <c r="C249" t="s">
        <v>704</v>
      </c>
      <c r="K249">
        <f>SUBTOTAL(9,K247:K247)</f>
        <v>8</v>
      </c>
    </row>
    <row r="250" spans="1:12" outlineLevel="3">
      <c r="A250" t="s">
        <v>37</v>
      </c>
      <c r="B250" t="s">
        <v>612</v>
      </c>
      <c r="C250" t="str">
        <f>CONCATENATE(E250,G250,I250,H250,J250)</f>
        <v>MV238FHB-K10-47M5ASM08D</v>
      </c>
      <c r="D250" t="s">
        <v>613</v>
      </c>
      <c r="E250" t="s">
        <v>102</v>
      </c>
      <c r="F250" t="s">
        <v>55</v>
      </c>
      <c r="G250" t="s">
        <v>42</v>
      </c>
      <c r="H250" t="s">
        <v>65</v>
      </c>
      <c r="I250" t="s">
        <v>44</v>
      </c>
      <c r="J250" t="s">
        <v>45</v>
      </c>
      <c r="K250">
        <v>6</v>
      </c>
    </row>
    <row r="251" spans="1:12" outlineLevel="2">
      <c r="C251" t="s">
        <v>880</v>
      </c>
      <c r="K251">
        <f>SUBTOTAL(3,K250:K250)</f>
        <v>1</v>
      </c>
    </row>
    <row r="252" spans="1:12" outlineLevel="1">
      <c r="C252" t="s">
        <v>705</v>
      </c>
      <c r="K252">
        <f>SUBTOTAL(9,K250:K250)</f>
        <v>6</v>
      </c>
    </row>
    <row r="253" spans="1:12" outlineLevel="3">
      <c r="A253" t="s">
        <v>37</v>
      </c>
      <c r="B253" t="s">
        <v>119</v>
      </c>
      <c r="C253" t="str">
        <f>CONCATENATE(E253,G253,I253,H253,J253)</f>
        <v>MV238FHB-K10-47M5ANM08D</v>
      </c>
      <c r="D253" t="s">
        <v>120</v>
      </c>
      <c r="E253" t="s">
        <v>102</v>
      </c>
      <c r="F253" t="s">
        <v>55</v>
      </c>
      <c r="G253" t="s">
        <v>42</v>
      </c>
      <c r="H253" t="s">
        <v>65</v>
      </c>
      <c r="I253" t="s">
        <v>51</v>
      </c>
      <c r="J253" t="s">
        <v>45</v>
      </c>
      <c r="K253">
        <v>10</v>
      </c>
      <c r="L253" t="s">
        <v>46</v>
      </c>
    </row>
    <row r="254" spans="1:12" outlineLevel="2">
      <c r="C254" t="s">
        <v>881</v>
      </c>
      <c r="K254">
        <f>SUBTOTAL(3,K253:K253)</f>
        <v>1</v>
      </c>
    </row>
    <row r="255" spans="1:12" outlineLevel="1">
      <c r="C255" t="s">
        <v>706</v>
      </c>
      <c r="K255">
        <f>SUBTOTAL(9,K253:K253)</f>
        <v>10</v>
      </c>
    </row>
    <row r="256" spans="1:12" outlineLevel="3">
      <c r="A256" t="s">
        <v>37</v>
      </c>
      <c r="B256" t="s">
        <v>138</v>
      </c>
      <c r="C256" t="str">
        <f>CONCATENATE(E256,G256,I256,H256,J256)</f>
        <v>MV238FHB-K10-47M1T0M01D</v>
      </c>
      <c r="D256" t="s">
        <v>139</v>
      </c>
      <c r="E256" t="s">
        <v>54</v>
      </c>
      <c r="F256" t="s">
        <v>55</v>
      </c>
      <c r="G256" t="s">
        <v>91</v>
      </c>
      <c r="H256" t="s">
        <v>61</v>
      </c>
      <c r="I256" t="s">
        <v>58</v>
      </c>
      <c r="J256" t="s">
        <v>45</v>
      </c>
      <c r="K256">
        <v>4</v>
      </c>
      <c r="L256" t="s">
        <v>46</v>
      </c>
    </row>
    <row r="257" spans="1:12" outlineLevel="3">
      <c r="A257" t="s">
        <v>37</v>
      </c>
      <c r="B257" t="s">
        <v>246</v>
      </c>
      <c r="C257" t="str">
        <f>CONCATENATE(E257,G257,I257,H257,J257)</f>
        <v>MV238FHB-K10-47M1T0M01D</v>
      </c>
      <c r="D257" t="s">
        <v>247</v>
      </c>
      <c r="E257" t="s">
        <v>54</v>
      </c>
      <c r="F257" t="s">
        <v>55</v>
      </c>
      <c r="G257" t="s">
        <v>91</v>
      </c>
      <c r="H257" t="s">
        <v>61</v>
      </c>
      <c r="I257" t="s">
        <v>58</v>
      </c>
      <c r="J257" t="s">
        <v>45</v>
      </c>
      <c r="K257">
        <v>5</v>
      </c>
      <c r="L257" t="s">
        <v>46</v>
      </c>
    </row>
    <row r="258" spans="1:12" outlineLevel="2">
      <c r="C258" t="s">
        <v>882</v>
      </c>
      <c r="K258">
        <f>SUBTOTAL(3,K256:K257)</f>
        <v>2</v>
      </c>
    </row>
    <row r="259" spans="1:12" outlineLevel="1">
      <c r="C259" t="s">
        <v>707</v>
      </c>
      <c r="K259">
        <f>SUBTOTAL(9,K256:K257)</f>
        <v>9</v>
      </c>
    </row>
    <row r="260" spans="1:12" outlineLevel="3">
      <c r="A260" t="s">
        <v>37</v>
      </c>
      <c r="B260" t="s">
        <v>134</v>
      </c>
      <c r="C260" t="str">
        <f>CONCATENATE(E260,G260,I260,H260,J260)</f>
        <v>MV238FHB-K10-47M1Q0M01D</v>
      </c>
      <c r="D260" t="s">
        <v>135</v>
      </c>
      <c r="E260" t="s">
        <v>54</v>
      </c>
      <c r="F260" t="s">
        <v>55</v>
      </c>
      <c r="G260" t="s">
        <v>69</v>
      </c>
      <c r="H260" t="s">
        <v>61</v>
      </c>
      <c r="I260" t="s">
        <v>58</v>
      </c>
      <c r="J260" t="s">
        <v>45</v>
      </c>
      <c r="K260">
        <v>6</v>
      </c>
      <c r="L260" t="s">
        <v>46</v>
      </c>
    </row>
    <row r="261" spans="1:12" outlineLevel="3">
      <c r="A261" t="s">
        <v>37</v>
      </c>
      <c r="B261" t="s">
        <v>254</v>
      </c>
      <c r="C261" t="str">
        <f>CONCATENATE(E261,G261,I261,H261,J261)</f>
        <v>MV238FHB-K10-47M1Q0M01D</v>
      </c>
      <c r="D261" t="s">
        <v>255</v>
      </c>
      <c r="E261" t="s">
        <v>54</v>
      </c>
      <c r="F261" t="s">
        <v>55</v>
      </c>
      <c r="G261" t="s">
        <v>69</v>
      </c>
      <c r="H261" t="s">
        <v>61</v>
      </c>
      <c r="I261" t="s">
        <v>58</v>
      </c>
      <c r="J261" t="s">
        <v>45</v>
      </c>
      <c r="K261">
        <v>7</v>
      </c>
      <c r="L261" t="s">
        <v>46</v>
      </c>
    </row>
    <row r="262" spans="1:12" outlineLevel="3">
      <c r="A262" t="s">
        <v>37</v>
      </c>
      <c r="B262" t="s">
        <v>272</v>
      </c>
      <c r="C262" t="str">
        <f>CONCATENATE(E262,G262,I262,H262,J262)</f>
        <v>MV238FHB-K10-47M1Q0M01D</v>
      </c>
      <c r="D262" t="s">
        <v>273</v>
      </c>
      <c r="E262" t="s">
        <v>54</v>
      </c>
      <c r="F262" t="s">
        <v>55</v>
      </c>
      <c r="G262" t="s">
        <v>69</v>
      </c>
      <c r="H262" t="s">
        <v>61</v>
      </c>
      <c r="I262" t="s">
        <v>58</v>
      </c>
      <c r="J262" t="s">
        <v>45</v>
      </c>
      <c r="K262">
        <v>2</v>
      </c>
      <c r="L262" t="s">
        <v>46</v>
      </c>
    </row>
    <row r="263" spans="1:12" outlineLevel="2">
      <c r="C263" t="s">
        <v>883</v>
      </c>
      <c r="K263">
        <f>SUBTOTAL(3,K260:K262)</f>
        <v>3</v>
      </c>
    </row>
    <row r="264" spans="1:12" outlineLevel="1">
      <c r="C264" t="s">
        <v>708</v>
      </c>
      <c r="K264">
        <f>SUBTOTAL(9,K260:K262)</f>
        <v>15</v>
      </c>
    </row>
    <row r="265" spans="1:12" outlineLevel="3">
      <c r="A265" t="s">
        <v>37</v>
      </c>
      <c r="B265" t="s">
        <v>162</v>
      </c>
      <c r="C265" t="str">
        <f>CONCATENATE(E265,G265,I265,H265,J265)</f>
        <v>MV238FHB-K10-47M1FLJ96D</v>
      </c>
      <c r="D265" t="s">
        <v>163</v>
      </c>
      <c r="E265" t="s">
        <v>54</v>
      </c>
      <c r="F265" t="s">
        <v>55</v>
      </c>
      <c r="G265" t="s">
        <v>56</v>
      </c>
      <c r="H265" t="s">
        <v>57</v>
      </c>
      <c r="I265" t="s">
        <v>105</v>
      </c>
      <c r="J265" t="s">
        <v>45</v>
      </c>
      <c r="K265">
        <v>4</v>
      </c>
      <c r="L265" t="s">
        <v>46</v>
      </c>
    </row>
    <row r="266" spans="1:12" outlineLevel="2">
      <c r="C266" t="s">
        <v>884</v>
      </c>
      <c r="K266">
        <f>SUBTOTAL(3,K265:K265)</f>
        <v>1</v>
      </c>
    </row>
    <row r="267" spans="1:12" outlineLevel="1">
      <c r="C267" t="s">
        <v>709</v>
      </c>
      <c r="K267">
        <f>SUBTOTAL(9,K265:K265)</f>
        <v>4</v>
      </c>
    </row>
    <row r="268" spans="1:12" outlineLevel="3">
      <c r="A268" t="s">
        <v>37</v>
      </c>
      <c r="B268" t="s">
        <v>52</v>
      </c>
      <c r="C268" t="str">
        <f t="shared" ref="C268:C273" si="0">CONCATENATE(E268,G268,I268,H268,J268)</f>
        <v>MV238FHB-K10-47M1F0J96D</v>
      </c>
      <c r="D268" t="s">
        <v>53</v>
      </c>
      <c r="E268" t="s">
        <v>54</v>
      </c>
      <c r="F268" t="s">
        <v>55</v>
      </c>
      <c r="G268" t="s">
        <v>56</v>
      </c>
      <c r="H268" t="s">
        <v>57</v>
      </c>
      <c r="I268" t="s">
        <v>58</v>
      </c>
      <c r="J268" t="s">
        <v>45</v>
      </c>
      <c r="K268">
        <v>14</v>
      </c>
      <c r="L268" t="s">
        <v>46</v>
      </c>
    </row>
    <row r="269" spans="1:12" outlineLevel="3">
      <c r="A269" t="s">
        <v>37</v>
      </c>
      <c r="B269" t="s">
        <v>82</v>
      </c>
      <c r="C269" t="str">
        <f t="shared" si="0"/>
        <v>MV238FHB-K10-47M1F0J96D</v>
      </c>
      <c r="D269" t="s">
        <v>83</v>
      </c>
      <c r="E269" t="s">
        <v>54</v>
      </c>
      <c r="F269" t="s">
        <v>55</v>
      </c>
      <c r="G269" t="s">
        <v>56</v>
      </c>
      <c r="H269" t="s">
        <v>57</v>
      </c>
      <c r="I269" t="s">
        <v>58</v>
      </c>
      <c r="J269" t="s">
        <v>45</v>
      </c>
      <c r="K269">
        <v>9</v>
      </c>
      <c r="L269" t="s">
        <v>46</v>
      </c>
    </row>
    <row r="270" spans="1:12" outlineLevel="3">
      <c r="A270" t="s">
        <v>37</v>
      </c>
      <c r="B270" t="s">
        <v>177</v>
      </c>
      <c r="C270" t="str">
        <f t="shared" si="0"/>
        <v>MV238FHB-K10-47M1F0J96D</v>
      </c>
      <c r="D270" t="s">
        <v>178</v>
      </c>
      <c r="E270" t="s">
        <v>54</v>
      </c>
      <c r="F270" t="s">
        <v>55</v>
      </c>
      <c r="G270" t="s">
        <v>56</v>
      </c>
      <c r="H270" t="s">
        <v>57</v>
      </c>
      <c r="I270" t="s">
        <v>58</v>
      </c>
      <c r="J270" t="s">
        <v>45</v>
      </c>
      <c r="K270">
        <v>4</v>
      </c>
      <c r="L270" t="s">
        <v>46</v>
      </c>
    </row>
    <row r="271" spans="1:12" outlineLevel="3">
      <c r="A271" t="s">
        <v>37</v>
      </c>
      <c r="B271" t="s">
        <v>179</v>
      </c>
      <c r="C271" t="str">
        <f t="shared" si="0"/>
        <v>MV238FHB-K10-47M1F0J96D</v>
      </c>
      <c r="D271" t="s">
        <v>180</v>
      </c>
      <c r="E271" t="s">
        <v>54</v>
      </c>
      <c r="F271" t="s">
        <v>55</v>
      </c>
      <c r="G271" t="s">
        <v>56</v>
      </c>
      <c r="H271" t="s">
        <v>57</v>
      </c>
      <c r="I271" t="s">
        <v>58</v>
      </c>
      <c r="J271" t="s">
        <v>45</v>
      </c>
      <c r="K271">
        <v>14</v>
      </c>
      <c r="L271" t="s">
        <v>46</v>
      </c>
    </row>
    <row r="272" spans="1:12" outlineLevel="3">
      <c r="A272" t="s">
        <v>37</v>
      </c>
      <c r="B272" t="s">
        <v>244</v>
      </c>
      <c r="C272" t="str">
        <f t="shared" si="0"/>
        <v>MV238FHB-K10-47M1F0J96D</v>
      </c>
      <c r="D272" t="s">
        <v>245</v>
      </c>
      <c r="E272" t="s">
        <v>54</v>
      </c>
      <c r="F272" t="s">
        <v>55</v>
      </c>
      <c r="G272" t="s">
        <v>56</v>
      </c>
      <c r="H272" t="s">
        <v>57</v>
      </c>
      <c r="I272" t="s">
        <v>58</v>
      </c>
      <c r="J272" t="s">
        <v>45</v>
      </c>
      <c r="K272">
        <v>14</v>
      </c>
      <c r="L272" t="s">
        <v>46</v>
      </c>
    </row>
    <row r="273" spans="1:12" outlineLevel="3">
      <c r="A273" t="s">
        <v>37</v>
      </c>
      <c r="B273" t="s">
        <v>289</v>
      </c>
      <c r="C273" t="str">
        <f t="shared" si="0"/>
        <v>MV238FHB-K10-47M1F0J96D</v>
      </c>
      <c r="D273" t="s">
        <v>290</v>
      </c>
      <c r="E273" t="s">
        <v>54</v>
      </c>
      <c r="F273" t="s">
        <v>55</v>
      </c>
      <c r="G273" t="s">
        <v>56</v>
      </c>
      <c r="H273" t="s">
        <v>57</v>
      </c>
      <c r="I273" t="s">
        <v>58</v>
      </c>
      <c r="J273" t="s">
        <v>45</v>
      </c>
      <c r="K273">
        <v>1</v>
      </c>
      <c r="L273" t="s">
        <v>46</v>
      </c>
    </row>
    <row r="274" spans="1:12" outlineLevel="2">
      <c r="C274" t="s">
        <v>885</v>
      </c>
      <c r="K274">
        <f>SUBTOTAL(3,K268:K273)</f>
        <v>6</v>
      </c>
    </row>
    <row r="275" spans="1:12" outlineLevel="1">
      <c r="C275" t="s">
        <v>710</v>
      </c>
      <c r="K275">
        <f>SUBTOTAL(9,K268:K273)</f>
        <v>56</v>
      </c>
    </row>
    <row r="276" spans="1:12" outlineLevel="3">
      <c r="A276" t="s">
        <v>37</v>
      </c>
      <c r="B276" t="s">
        <v>63</v>
      </c>
      <c r="C276" t="str">
        <f>CONCATENATE(E276,G276,I276,H276,J276)</f>
        <v>MV238FHB-K10-47M1ASM08D</v>
      </c>
      <c r="D276" t="s">
        <v>64</v>
      </c>
      <c r="E276" t="s">
        <v>54</v>
      </c>
      <c r="F276" t="s">
        <v>55</v>
      </c>
      <c r="G276" t="s">
        <v>42</v>
      </c>
      <c r="H276" t="s">
        <v>65</v>
      </c>
      <c r="I276" t="s">
        <v>44</v>
      </c>
      <c r="J276" t="s">
        <v>45</v>
      </c>
      <c r="K276">
        <v>3</v>
      </c>
      <c r="L276" t="s">
        <v>46</v>
      </c>
    </row>
    <row r="277" spans="1:12" outlineLevel="3">
      <c r="A277" t="s">
        <v>37</v>
      </c>
      <c r="B277" t="s">
        <v>87</v>
      </c>
      <c r="C277" t="str">
        <f>CONCATENATE(E277,G277,I277,H277,J277)</f>
        <v>MV238FHB-K10-47M1ASM08D</v>
      </c>
      <c r="D277" t="s">
        <v>88</v>
      </c>
      <c r="E277" t="s">
        <v>54</v>
      </c>
      <c r="F277" t="s">
        <v>55</v>
      </c>
      <c r="G277" t="s">
        <v>42</v>
      </c>
      <c r="H277" t="s">
        <v>65</v>
      </c>
      <c r="I277" t="s">
        <v>44</v>
      </c>
      <c r="J277" t="s">
        <v>45</v>
      </c>
      <c r="K277">
        <v>8</v>
      </c>
      <c r="L277" t="s">
        <v>46</v>
      </c>
    </row>
    <row r="278" spans="1:12" outlineLevel="3">
      <c r="A278" t="s">
        <v>37</v>
      </c>
      <c r="B278" t="s">
        <v>136</v>
      </c>
      <c r="C278" t="str">
        <f>CONCATENATE(E278,G278,I278,H278,J278)</f>
        <v>MV238FHB-K10-47M1ASM08D</v>
      </c>
      <c r="D278" t="s">
        <v>137</v>
      </c>
      <c r="E278" t="s">
        <v>54</v>
      </c>
      <c r="F278" t="s">
        <v>55</v>
      </c>
      <c r="G278" t="s">
        <v>42</v>
      </c>
      <c r="H278" t="s">
        <v>65</v>
      </c>
      <c r="I278" t="s">
        <v>44</v>
      </c>
      <c r="J278" t="s">
        <v>45</v>
      </c>
      <c r="K278">
        <v>1</v>
      </c>
      <c r="L278" t="s">
        <v>46</v>
      </c>
    </row>
    <row r="279" spans="1:12" outlineLevel="3">
      <c r="A279" t="s">
        <v>37</v>
      </c>
      <c r="B279" t="s">
        <v>164</v>
      </c>
      <c r="C279" t="str">
        <f>CONCATENATE(E279,G279,I279,H279,J279)</f>
        <v>MV238FHB-K10-47M1ASM08D</v>
      </c>
      <c r="D279" t="s">
        <v>165</v>
      </c>
      <c r="E279" t="s">
        <v>54</v>
      </c>
      <c r="F279" t="s">
        <v>55</v>
      </c>
      <c r="G279" t="s">
        <v>42</v>
      </c>
      <c r="H279" t="s">
        <v>65</v>
      </c>
      <c r="I279" t="s">
        <v>44</v>
      </c>
      <c r="J279" t="s">
        <v>45</v>
      </c>
      <c r="K279">
        <v>3</v>
      </c>
      <c r="L279" t="s">
        <v>46</v>
      </c>
    </row>
    <row r="280" spans="1:12" outlineLevel="2">
      <c r="C280" t="s">
        <v>886</v>
      </c>
      <c r="K280">
        <f>SUBTOTAL(3,K276:K279)</f>
        <v>4</v>
      </c>
    </row>
    <row r="281" spans="1:12" outlineLevel="1">
      <c r="C281" t="s">
        <v>711</v>
      </c>
      <c r="K281">
        <f>SUBTOTAL(9,K276:K279)</f>
        <v>15</v>
      </c>
    </row>
    <row r="282" spans="1:12" outlineLevel="3">
      <c r="A282" t="s">
        <v>37</v>
      </c>
      <c r="B282" t="s">
        <v>274</v>
      </c>
      <c r="C282" t="str">
        <f>CONCATENATE(E282,G282,I282,H282,J282)</f>
        <v>MV238FHB-K10-47M1AQM01D</v>
      </c>
      <c r="D282" t="s">
        <v>275</v>
      </c>
      <c r="E282" t="s">
        <v>54</v>
      </c>
      <c r="F282" t="s">
        <v>55</v>
      </c>
      <c r="G282" t="s">
        <v>42</v>
      </c>
      <c r="H282" t="s">
        <v>61</v>
      </c>
      <c r="I282" t="s">
        <v>69</v>
      </c>
      <c r="J282" t="s">
        <v>45</v>
      </c>
      <c r="K282">
        <v>2</v>
      </c>
      <c r="L282" t="s">
        <v>46</v>
      </c>
    </row>
    <row r="283" spans="1:12" outlineLevel="2">
      <c r="C283" t="s">
        <v>887</v>
      </c>
      <c r="K283">
        <f>SUBTOTAL(3,K282:K282)</f>
        <v>1</v>
      </c>
    </row>
    <row r="284" spans="1:12" outlineLevel="1">
      <c r="C284" t="s">
        <v>712</v>
      </c>
      <c r="K284">
        <f>SUBTOTAL(9,K282:K282)</f>
        <v>2</v>
      </c>
    </row>
    <row r="285" spans="1:12" outlineLevel="3">
      <c r="A285" t="s">
        <v>37</v>
      </c>
      <c r="B285" t="s">
        <v>103</v>
      </c>
      <c r="C285" t="str">
        <f>CONCATENATE(E285,G285,I285,H285,J285)</f>
        <v>MV238FHB-K10-47M1ANM08D</v>
      </c>
      <c r="D285" t="s">
        <v>104</v>
      </c>
      <c r="E285" t="s">
        <v>54</v>
      </c>
      <c r="F285" t="s">
        <v>55</v>
      </c>
      <c r="G285" t="s">
        <v>42</v>
      </c>
      <c r="H285" t="s">
        <v>65</v>
      </c>
      <c r="I285" t="s">
        <v>51</v>
      </c>
      <c r="J285" t="s">
        <v>45</v>
      </c>
      <c r="K285">
        <v>11</v>
      </c>
      <c r="L285" t="s">
        <v>46</v>
      </c>
    </row>
    <row r="286" spans="1:12" outlineLevel="3">
      <c r="A286" t="s">
        <v>37</v>
      </c>
      <c r="B286" t="s">
        <v>166</v>
      </c>
      <c r="C286" t="str">
        <f>CONCATENATE(E286,G286,I286,H286,J286)</f>
        <v>MV238FHB-K10-47M1ANM08D</v>
      </c>
      <c r="D286" t="s">
        <v>167</v>
      </c>
      <c r="E286" t="s">
        <v>54</v>
      </c>
      <c r="F286" t="s">
        <v>55</v>
      </c>
      <c r="G286" t="s">
        <v>42</v>
      </c>
      <c r="H286" t="s">
        <v>65</v>
      </c>
      <c r="I286" t="s">
        <v>51</v>
      </c>
      <c r="J286" t="s">
        <v>45</v>
      </c>
      <c r="K286">
        <v>6</v>
      </c>
      <c r="L286" t="s">
        <v>46</v>
      </c>
    </row>
    <row r="287" spans="1:12" outlineLevel="3">
      <c r="A287" t="s">
        <v>37</v>
      </c>
      <c r="B287" t="s">
        <v>238</v>
      </c>
      <c r="C287" t="str">
        <f>CONCATENATE(E287,G287,I287,H287,J287)</f>
        <v>MV238FHB-K10-47M1ANM08D</v>
      </c>
      <c r="D287" t="s">
        <v>239</v>
      </c>
      <c r="E287" t="s">
        <v>54</v>
      </c>
      <c r="F287" t="s">
        <v>55</v>
      </c>
      <c r="G287" t="s">
        <v>42</v>
      </c>
      <c r="H287" t="s">
        <v>65</v>
      </c>
      <c r="I287" t="s">
        <v>51</v>
      </c>
      <c r="J287" t="s">
        <v>45</v>
      </c>
      <c r="K287">
        <v>7</v>
      </c>
      <c r="L287" t="s">
        <v>46</v>
      </c>
    </row>
    <row r="288" spans="1:12" outlineLevel="2">
      <c r="C288" t="s">
        <v>888</v>
      </c>
      <c r="K288">
        <f>SUBTOTAL(3,K285:K287)</f>
        <v>3</v>
      </c>
    </row>
    <row r="289" spans="1:12" outlineLevel="1">
      <c r="C289" t="s">
        <v>713</v>
      </c>
      <c r="K289">
        <f>SUBTOTAL(9,K285:K287)</f>
        <v>24</v>
      </c>
    </row>
    <row r="290" spans="1:12" outlineLevel="3">
      <c r="A290" t="s">
        <v>37</v>
      </c>
      <c r="B290" t="s">
        <v>117</v>
      </c>
      <c r="C290" t="str">
        <f>CONCATENATE(E290,G290,I290,H290,J290)</f>
        <v>MV238FHB-K10-47M1ALM01D</v>
      </c>
      <c r="D290" t="s">
        <v>118</v>
      </c>
      <c r="E290" t="s">
        <v>54</v>
      </c>
      <c r="F290" t="s">
        <v>55</v>
      </c>
      <c r="G290" t="s">
        <v>42</v>
      </c>
      <c r="H290" t="s">
        <v>61</v>
      </c>
      <c r="I290" t="s">
        <v>105</v>
      </c>
      <c r="J290" t="s">
        <v>45</v>
      </c>
      <c r="K290">
        <v>5</v>
      </c>
      <c r="L290" t="s">
        <v>46</v>
      </c>
    </row>
    <row r="291" spans="1:12" outlineLevel="3">
      <c r="A291" t="s">
        <v>37</v>
      </c>
      <c r="B291" t="s">
        <v>256</v>
      </c>
      <c r="C291" t="str">
        <f>CONCATENATE(E291,G291,I291,H291,J291)</f>
        <v>MV238FHB-K10-47M1ALM01D</v>
      </c>
      <c r="D291" t="s">
        <v>257</v>
      </c>
      <c r="E291" t="s">
        <v>54</v>
      </c>
      <c r="F291" t="s">
        <v>55</v>
      </c>
      <c r="G291" t="s">
        <v>42</v>
      </c>
      <c r="H291" t="s">
        <v>61</v>
      </c>
      <c r="I291" t="s">
        <v>105</v>
      </c>
      <c r="J291" t="s">
        <v>45</v>
      </c>
      <c r="K291">
        <v>1</v>
      </c>
      <c r="L291" t="s">
        <v>46</v>
      </c>
    </row>
    <row r="292" spans="1:12" outlineLevel="2">
      <c r="C292" t="s">
        <v>889</v>
      </c>
      <c r="K292">
        <f>SUBTOTAL(3,K290:K291)</f>
        <v>2</v>
      </c>
    </row>
    <row r="293" spans="1:12" outlineLevel="1">
      <c r="C293" t="s">
        <v>714</v>
      </c>
      <c r="K293">
        <f>SUBTOTAL(9,K290:K291)</f>
        <v>6</v>
      </c>
    </row>
    <row r="294" spans="1:12" outlineLevel="3">
      <c r="A294" t="s">
        <v>37</v>
      </c>
      <c r="B294" t="s">
        <v>59</v>
      </c>
      <c r="C294" t="str">
        <f t="shared" ref="C294:C299" si="1">CONCATENATE(E294,G294,I294,H294,J294)</f>
        <v>MV238FHB-K10-47M1AKM01D</v>
      </c>
      <c r="D294" t="s">
        <v>60</v>
      </c>
      <c r="E294" t="s">
        <v>54</v>
      </c>
      <c r="F294" t="s">
        <v>55</v>
      </c>
      <c r="G294" t="s">
        <v>42</v>
      </c>
      <c r="H294" t="s">
        <v>61</v>
      </c>
      <c r="I294" t="s">
        <v>62</v>
      </c>
      <c r="J294" t="s">
        <v>45</v>
      </c>
      <c r="K294">
        <v>2</v>
      </c>
      <c r="L294" t="s">
        <v>46</v>
      </c>
    </row>
    <row r="295" spans="1:12" outlineLevel="3">
      <c r="A295" t="s">
        <v>37</v>
      </c>
      <c r="B295" t="s">
        <v>115</v>
      </c>
      <c r="C295" t="str">
        <f t="shared" si="1"/>
        <v>MV238FHB-K10-47M1AKM01D</v>
      </c>
      <c r="D295" t="s">
        <v>116</v>
      </c>
      <c r="E295" t="s">
        <v>54</v>
      </c>
      <c r="F295" t="s">
        <v>55</v>
      </c>
      <c r="G295" t="s">
        <v>42</v>
      </c>
      <c r="H295" t="s">
        <v>61</v>
      </c>
      <c r="I295" t="s">
        <v>62</v>
      </c>
      <c r="J295" t="s">
        <v>45</v>
      </c>
      <c r="K295">
        <v>1</v>
      </c>
      <c r="L295" t="s">
        <v>46</v>
      </c>
    </row>
    <row r="296" spans="1:12" outlineLevel="3">
      <c r="A296" t="s">
        <v>37</v>
      </c>
      <c r="B296" t="s">
        <v>124</v>
      </c>
      <c r="C296" t="str">
        <f t="shared" si="1"/>
        <v>MV238FHB-K10-47M1AKM01D</v>
      </c>
      <c r="D296" t="s">
        <v>125</v>
      </c>
      <c r="E296" t="s">
        <v>54</v>
      </c>
      <c r="F296" t="s">
        <v>55</v>
      </c>
      <c r="G296" t="s">
        <v>42</v>
      </c>
      <c r="H296" t="s">
        <v>61</v>
      </c>
      <c r="I296" t="s">
        <v>62</v>
      </c>
      <c r="J296" t="s">
        <v>45</v>
      </c>
      <c r="K296">
        <v>2</v>
      </c>
      <c r="L296" t="s">
        <v>46</v>
      </c>
    </row>
    <row r="297" spans="1:12" outlineLevel="3">
      <c r="A297" t="s">
        <v>37</v>
      </c>
      <c r="B297" t="s">
        <v>160</v>
      </c>
      <c r="C297" t="str">
        <f t="shared" si="1"/>
        <v>MV238FHB-K10-47M1AKM01D</v>
      </c>
      <c r="D297" t="s">
        <v>161</v>
      </c>
      <c r="E297" t="s">
        <v>54</v>
      </c>
      <c r="F297" t="s">
        <v>55</v>
      </c>
      <c r="G297" t="s">
        <v>42</v>
      </c>
      <c r="H297" t="s">
        <v>61</v>
      </c>
      <c r="I297" t="s">
        <v>62</v>
      </c>
      <c r="J297" t="s">
        <v>45</v>
      </c>
      <c r="K297">
        <v>2</v>
      </c>
      <c r="L297" t="s">
        <v>46</v>
      </c>
    </row>
    <row r="298" spans="1:12" outlineLevel="3">
      <c r="A298" t="s">
        <v>37</v>
      </c>
      <c r="B298" t="s">
        <v>168</v>
      </c>
      <c r="C298" t="str">
        <f t="shared" si="1"/>
        <v>MV238FHB-K10-47M1AKM01D</v>
      </c>
      <c r="D298" t="s">
        <v>169</v>
      </c>
      <c r="E298" t="s">
        <v>54</v>
      </c>
      <c r="F298" t="s">
        <v>55</v>
      </c>
      <c r="G298" t="s">
        <v>42</v>
      </c>
      <c r="H298" t="s">
        <v>61</v>
      </c>
      <c r="I298" t="s">
        <v>62</v>
      </c>
      <c r="J298" t="s">
        <v>45</v>
      </c>
      <c r="K298">
        <v>14</v>
      </c>
      <c r="L298" t="s">
        <v>46</v>
      </c>
    </row>
    <row r="299" spans="1:12" outlineLevel="3">
      <c r="A299" t="s">
        <v>37</v>
      </c>
      <c r="B299" t="s">
        <v>309</v>
      </c>
      <c r="C299" t="str">
        <f t="shared" si="1"/>
        <v>MV238FHB-K10-47M1AKM01D</v>
      </c>
      <c r="D299" t="s">
        <v>310</v>
      </c>
      <c r="E299" t="s">
        <v>54</v>
      </c>
      <c r="F299" t="s">
        <v>55</v>
      </c>
      <c r="G299" t="s">
        <v>42</v>
      </c>
      <c r="H299" t="s">
        <v>61</v>
      </c>
      <c r="I299" t="s">
        <v>62</v>
      </c>
      <c r="J299" t="s">
        <v>45</v>
      </c>
      <c r="K299">
        <v>42</v>
      </c>
      <c r="L299" t="s">
        <v>46</v>
      </c>
    </row>
    <row r="300" spans="1:12" outlineLevel="2">
      <c r="C300" t="s">
        <v>890</v>
      </c>
      <c r="K300">
        <f>SUBTOTAL(3,K294:K299)</f>
        <v>6</v>
      </c>
    </row>
    <row r="301" spans="1:12" outlineLevel="1">
      <c r="C301" t="s">
        <v>715</v>
      </c>
      <c r="K301">
        <f>SUBTOTAL(9,K294:K299)</f>
        <v>63</v>
      </c>
    </row>
    <row r="302" spans="1:12" outlineLevel="3">
      <c r="A302" t="s">
        <v>37</v>
      </c>
      <c r="B302" t="s">
        <v>240</v>
      </c>
      <c r="C302" t="str">
        <f>CONCATENATE(E302,G302,I302,H302,J302)</f>
        <v>MV238FHB-K10-47M0T0M01D</v>
      </c>
      <c r="D302" t="s">
        <v>241</v>
      </c>
      <c r="E302" t="s">
        <v>72</v>
      </c>
      <c r="F302" t="s">
        <v>55</v>
      </c>
      <c r="G302" t="s">
        <v>91</v>
      </c>
      <c r="H302" t="s">
        <v>61</v>
      </c>
      <c r="I302" t="s">
        <v>58</v>
      </c>
      <c r="J302" t="s">
        <v>45</v>
      </c>
      <c r="K302">
        <v>6</v>
      </c>
      <c r="L302" t="s">
        <v>46</v>
      </c>
    </row>
    <row r="303" spans="1:12" outlineLevel="2">
      <c r="C303" t="s">
        <v>891</v>
      </c>
      <c r="K303">
        <f>SUBTOTAL(3,K302:K302)</f>
        <v>1</v>
      </c>
    </row>
    <row r="304" spans="1:12" outlineLevel="1">
      <c r="C304" t="s">
        <v>716</v>
      </c>
      <c r="K304">
        <f>SUBTOTAL(9,K302:K302)</f>
        <v>6</v>
      </c>
    </row>
    <row r="305" spans="1:12" outlineLevel="3">
      <c r="A305" t="s">
        <v>37</v>
      </c>
      <c r="B305" t="s">
        <v>258</v>
      </c>
      <c r="C305" t="str">
        <f>CONCATENATE(E305,G305,I305,H305,J305)</f>
        <v>MV238FHB-K10-47M0Q0M01D</v>
      </c>
      <c r="D305" t="s">
        <v>259</v>
      </c>
      <c r="E305" t="s">
        <v>72</v>
      </c>
      <c r="F305" t="s">
        <v>55</v>
      </c>
      <c r="G305" t="s">
        <v>69</v>
      </c>
      <c r="H305" t="s">
        <v>61</v>
      </c>
      <c r="I305" t="s">
        <v>58</v>
      </c>
      <c r="J305" t="s">
        <v>45</v>
      </c>
      <c r="K305">
        <v>1</v>
      </c>
      <c r="L305" t="s">
        <v>46</v>
      </c>
    </row>
    <row r="306" spans="1:12" outlineLevel="3">
      <c r="A306" t="s">
        <v>37</v>
      </c>
      <c r="B306" t="s">
        <v>599</v>
      </c>
      <c r="C306" t="str">
        <f>CONCATENATE(E306,G306,I306,H306,J306)</f>
        <v>MV238FHB-K10-47M0Q0M01D</v>
      </c>
      <c r="D306" t="s">
        <v>600</v>
      </c>
      <c r="E306" t="s">
        <v>72</v>
      </c>
      <c r="F306" t="s">
        <v>55</v>
      </c>
      <c r="G306" t="s">
        <v>69</v>
      </c>
      <c r="H306" t="s">
        <v>61</v>
      </c>
      <c r="I306" t="s">
        <v>58</v>
      </c>
      <c r="J306" t="s">
        <v>45</v>
      </c>
      <c r="K306">
        <v>6</v>
      </c>
    </row>
    <row r="307" spans="1:12" outlineLevel="2">
      <c r="C307" t="s">
        <v>892</v>
      </c>
      <c r="K307">
        <f>SUBTOTAL(3,K305:K306)</f>
        <v>2</v>
      </c>
    </row>
    <row r="308" spans="1:12" outlineLevel="1">
      <c r="C308" t="s">
        <v>717</v>
      </c>
      <c r="K308">
        <f>SUBTOTAL(9,K305:K306)</f>
        <v>7</v>
      </c>
    </row>
    <row r="309" spans="1:12" outlineLevel="3">
      <c r="A309" t="s">
        <v>37</v>
      </c>
      <c r="B309" t="s">
        <v>411</v>
      </c>
      <c r="C309" t="str">
        <f>CONCATENATE(E309,G309,I309,H309,J309)</f>
        <v>MV238FHB-K10-47M0FLJ96D</v>
      </c>
      <c r="D309" t="s">
        <v>412</v>
      </c>
      <c r="E309" t="s">
        <v>72</v>
      </c>
      <c r="F309" t="s">
        <v>55</v>
      </c>
      <c r="G309" t="s">
        <v>56</v>
      </c>
      <c r="H309" t="s">
        <v>57</v>
      </c>
      <c r="I309" t="s">
        <v>105</v>
      </c>
      <c r="J309" t="s">
        <v>45</v>
      </c>
      <c r="K309">
        <v>7</v>
      </c>
    </row>
    <row r="310" spans="1:12" outlineLevel="2">
      <c r="C310" t="s">
        <v>893</v>
      </c>
      <c r="K310">
        <f>SUBTOTAL(3,K309:K309)</f>
        <v>1</v>
      </c>
    </row>
    <row r="311" spans="1:12" outlineLevel="1">
      <c r="C311" t="s">
        <v>718</v>
      </c>
      <c r="K311">
        <f>SUBTOTAL(9,K309:K309)</f>
        <v>7</v>
      </c>
    </row>
    <row r="312" spans="1:12" outlineLevel="3">
      <c r="A312" t="s">
        <v>37</v>
      </c>
      <c r="B312" t="s">
        <v>93</v>
      </c>
      <c r="C312" t="str">
        <f>CONCATENATE(E312,G312,I312,H312,J312)</f>
        <v>MV238FHB-K10-47M0ASM08D</v>
      </c>
      <c r="D312" t="s">
        <v>94</v>
      </c>
      <c r="E312" t="s">
        <v>72</v>
      </c>
      <c r="F312" t="s">
        <v>55</v>
      </c>
      <c r="G312" t="s">
        <v>42</v>
      </c>
      <c r="H312" t="s">
        <v>65</v>
      </c>
      <c r="I312" t="s">
        <v>44</v>
      </c>
      <c r="J312" t="s">
        <v>45</v>
      </c>
      <c r="K312">
        <v>14</v>
      </c>
      <c r="L312" t="s">
        <v>46</v>
      </c>
    </row>
    <row r="313" spans="1:12" outlineLevel="3">
      <c r="A313" t="s">
        <v>37</v>
      </c>
      <c r="B313" t="s">
        <v>242</v>
      </c>
      <c r="C313" t="str">
        <f>CONCATENATE(E313,G313,I313,H313,J313)</f>
        <v>MV238FHB-K10-47M0ASM08D</v>
      </c>
      <c r="D313" t="s">
        <v>243</v>
      </c>
      <c r="E313" t="s">
        <v>72</v>
      </c>
      <c r="F313" t="s">
        <v>55</v>
      </c>
      <c r="G313" t="s">
        <v>42</v>
      </c>
      <c r="H313" t="s">
        <v>65</v>
      </c>
      <c r="I313" t="s">
        <v>44</v>
      </c>
      <c r="J313" t="s">
        <v>45</v>
      </c>
      <c r="K313">
        <v>2</v>
      </c>
      <c r="L313" t="s">
        <v>46</v>
      </c>
    </row>
    <row r="314" spans="1:12" outlineLevel="3">
      <c r="A314" t="s">
        <v>37</v>
      </c>
      <c r="B314" t="s">
        <v>263</v>
      </c>
      <c r="C314" t="str">
        <f>CONCATENATE(E314,G314,I314,H314,J314)</f>
        <v>MV238FHB-K10-47M0ASM08D</v>
      </c>
      <c r="D314" t="s">
        <v>264</v>
      </c>
      <c r="E314" t="s">
        <v>72</v>
      </c>
      <c r="F314" t="s">
        <v>55</v>
      </c>
      <c r="G314" t="s">
        <v>42</v>
      </c>
      <c r="H314" t="s">
        <v>65</v>
      </c>
      <c r="I314" t="s">
        <v>44</v>
      </c>
      <c r="J314" t="s">
        <v>45</v>
      </c>
      <c r="K314">
        <v>1</v>
      </c>
      <c r="L314" t="s">
        <v>46</v>
      </c>
    </row>
    <row r="315" spans="1:12" outlineLevel="2">
      <c r="C315" t="s">
        <v>894</v>
      </c>
      <c r="K315">
        <f>SUBTOTAL(3,K312:K314)</f>
        <v>3</v>
      </c>
    </row>
    <row r="316" spans="1:12" outlineLevel="1">
      <c r="C316" t="s">
        <v>719</v>
      </c>
      <c r="K316">
        <f>SUBTOTAL(9,K312:K314)</f>
        <v>17</v>
      </c>
    </row>
    <row r="317" spans="1:12" outlineLevel="3">
      <c r="A317" t="s">
        <v>37</v>
      </c>
      <c r="B317" t="s">
        <v>236</v>
      </c>
      <c r="C317" t="str">
        <f>CONCATENATE(E317,G317,I317,H317,J317)</f>
        <v>MV238FHB-K10-47M0AQM01D</v>
      </c>
      <c r="D317" t="s">
        <v>237</v>
      </c>
      <c r="E317" t="s">
        <v>72</v>
      </c>
      <c r="F317" t="s">
        <v>55</v>
      </c>
      <c r="G317" t="s">
        <v>42</v>
      </c>
      <c r="H317" t="s">
        <v>61</v>
      </c>
      <c r="I317" t="s">
        <v>69</v>
      </c>
      <c r="J317" t="s">
        <v>45</v>
      </c>
      <c r="K317">
        <v>3</v>
      </c>
      <c r="L317" t="s">
        <v>46</v>
      </c>
    </row>
    <row r="318" spans="1:12" outlineLevel="2">
      <c r="C318" t="s">
        <v>895</v>
      </c>
      <c r="K318">
        <f>SUBTOTAL(3,K317:K317)</f>
        <v>1</v>
      </c>
    </row>
    <row r="319" spans="1:12" outlineLevel="1">
      <c r="C319" t="s">
        <v>720</v>
      </c>
      <c r="K319">
        <f>SUBTOTAL(9,K317:K317)</f>
        <v>3</v>
      </c>
    </row>
    <row r="320" spans="1:12" outlineLevel="3">
      <c r="A320" t="s">
        <v>37</v>
      </c>
      <c r="B320" t="s">
        <v>70</v>
      </c>
      <c r="C320" t="str">
        <f>CONCATENATE(E320,G320,I320,H320,J320)</f>
        <v>MV238FHB-K10-47M0ANM08D</v>
      </c>
      <c r="D320" t="s">
        <v>71</v>
      </c>
      <c r="E320" t="s">
        <v>72</v>
      </c>
      <c r="F320" t="s">
        <v>55</v>
      </c>
      <c r="G320" t="s">
        <v>42</v>
      </c>
      <c r="H320" t="s">
        <v>65</v>
      </c>
      <c r="I320" t="s">
        <v>51</v>
      </c>
      <c r="J320" t="s">
        <v>45</v>
      </c>
      <c r="K320">
        <v>14</v>
      </c>
      <c r="L320" t="s">
        <v>46</v>
      </c>
    </row>
    <row r="321" spans="1:12" outlineLevel="3">
      <c r="A321" t="s">
        <v>37</v>
      </c>
      <c r="B321" t="s">
        <v>150</v>
      </c>
      <c r="C321" t="str">
        <f>CONCATENATE(E321,G321,I321,H321,J321)</f>
        <v>MV238FHB-K10-47M0ANM08D</v>
      </c>
      <c r="D321" t="s">
        <v>151</v>
      </c>
      <c r="E321" t="s">
        <v>72</v>
      </c>
      <c r="F321" t="s">
        <v>55</v>
      </c>
      <c r="G321" t="s">
        <v>42</v>
      </c>
      <c r="H321" t="s">
        <v>65</v>
      </c>
      <c r="I321" t="s">
        <v>51</v>
      </c>
      <c r="J321" t="s">
        <v>45</v>
      </c>
      <c r="K321">
        <v>8</v>
      </c>
      <c r="L321" t="s">
        <v>46</v>
      </c>
    </row>
    <row r="322" spans="1:12" outlineLevel="3">
      <c r="A322" t="s">
        <v>37</v>
      </c>
      <c r="B322" t="s">
        <v>616</v>
      </c>
      <c r="C322" t="str">
        <f>CONCATENATE(E322,G322,I322,H322,J322)</f>
        <v>MV238FHB-K10-47M0ANM08D</v>
      </c>
      <c r="D322" t="s">
        <v>617</v>
      </c>
      <c r="E322" t="s">
        <v>72</v>
      </c>
      <c r="F322" t="s">
        <v>55</v>
      </c>
      <c r="G322" t="s">
        <v>42</v>
      </c>
      <c r="H322" t="s">
        <v>65</v>
      </c>
      <c r="I322" t="s">
        <v>51</v>
      </c>
      <c r="J322" t="s">
        <v>45</v>
      </c>
      <c r="K322">
        <v>4</v>
      </c>
    </row>
    <row r="323" spans="1:12" outlineLevel="2">
      <c r="C323" t="s">
        <v>896</v>
      </c>
      <c r="K323">
        <f>SUBTOTAL(3,K320:K322)</f>
        <v>3</v>
      </c>
    </row>
    <row r="324" spans="1:12" outlineLevel="1">
      <c r="C324" t="s">
        <v>721</v>
      </c>
      <c r="K324">
        <f>SUBTOTAL(9,K320:K322)</f>
        <v>26</v>
      </c>
    </row>
    <row r="325" spans="1:12" outlineLevel="3">
      <c r="A325" t="s">
        <v>37</v>
      </c>
      <c r="B325" t="s">
        <v>518</v>
      </c>
      <c r="C325" t="str">
        <f>CONCATENATE(E325,G325,I325,H325,J325)</f>
        <v>MV215FHM-N72-4D41F0J96D</v>
      </c>
      <c r="D325" t="s">
        <v>519</v>
      </c>
      <c r="E325" t="s">
        <v>520</v>
      </c>
      <c r="F325" t="s">
        <v>41</v>
      </c>
      <c r="G325" t="s">
        <v>56</v>
      </c>
      <c r="H325" t="s">
        <v>57</v>
      </c>
      <c r="I325" t="s">
        <v>58</v>
      </c>
      <c r="J325" t="s">
        <v>45</v>
      </c>
      <c r="K325">
        <v>1</v>
      </c>
    </row>
    <row r="326" spans="1:12" outlineLevel="3">
      <c r="A326" t="s">
        <v>37</v>
      </c>
      <c r="B326" t="s">
        <v>521</v>
      </c>
      <c r="C326" t="str">
        <f>CONCATENATE(E326,G326,I326,H326,J326)</f>
        <v>MV215FHM-N72-4D41F0J96D</v>
      </c>
      <c r="D326" t="s">
        <v>522</v>
      </c>
      <c r="E326" t="s">
        <v>520</v>
      </c>
      <c r="F326" t="s">
        <v>41</v>
      </c>
      <c r="G326" t="s">
        <v>56</v>
      </c>
      <c r="H326" t="s">
        <v>57</v>
      </c>
      <c r="I326" t="s">
        <v>58</v>
      </c>
      <c r="J326" t="s">
        <v>45</v>
      </c>
      <c r="K326">
        <v>8</v>
      </c>
    </row>
    <row r="327" spans="1:12" outlineLevel="2">
      <c r="C327" t="s">
        <v>897</v>
      </c>
      <c r="K327">
        <f>SUBTOTAL(3,K325:K326)</f>
        <v>2</v>
      </c>
    </row>
    <row r="328" spans="1:12" outlineLevel="1">
      <c r="C328" t="s">
        <v>722</v>
      </c>
      <c r="K328">
        <f>SUBTOTAL(9,K325:K326)</f>
        <v>9</v>
      </c>
    </row>
    <row r="329" spans="1:12" outlineLevel="3">
      <c r="A329" t="s">
        <v>37</v>
      </c>
      <c r="B329" t="s">
        <v>467</v>
      </c>
      <c r="C329" t="str">
        <f>CONCATENATE(E329,G329,I329,H329,J329)</f>
        <v>MV215FHB-N40-485VFLJ96D</v>
      </c>
      <c r="D329" t="s">
        <v>468</v>
      </c>
      <c r="E329" t="s">
        <v>469</v>
      </c>
      <c r="F329" t="s">
        <v>55</v>
      </c>
      <c r="G329" t="s">
        <v>56</v>
      </c>
      <c r="H329" t="s">
        <v>57</v>
      </c>
      <c r="I329" t="s">
        <v>105</v>
      </c>
      <c r="J329" t="s">
        <v>45</v>
      </c>
      <c r="K329">
        <v>3</v>
      </c>
    </row>
    <row r="330" spans="1:12" outlineLevel="2">
      <c r="C330" t="s">
        <v>898</v>
      </c>
      <c r="K330">
        <f>SUBTOTAL(3,K329:K329)</f>
        <v>1</v>
      </c>
    </row>
    <row r="331" spans="1:12" outlineLevel="1">
      <c r="C331" t="s">
        <v>723</v>
      </c>
      <c r="K331">
        <f>SUBTOTAL(9,K329:K329)</f>
        <v>3</v>
      </c>
    </row>
    <row r="332" spans="1:12" outlineLevel="3">
      <c r="A332" t="s">
        <v>37</v>
      </c>
      <c r="B332" t="s">
        <v>131</v>
      </c>
      <c r="C332" t="str">
        <f>CONCATENATE(E332,G332,I332,H332,J332)</f>
        <v>MV215FHB-N20-48S0F0J96D</v>
      </c>
      <c r="D332" t="s">
        <v>132</v>
      </c>
      <c r="E332" t="s">
        <v>133</v>
      </c>
      <c r="F332" t="s">
        <v>55</v>
      </c>
      <c r="G332" t="s">
        <v>56</v>
      </c>
      <c r="H332" t="s">
        <v>57</v>
      </c>
      <c r="I332" t="s">
        <v>58</v>
      </c>
      <c r="J332" t="s">
        <v>45</v>
      </c>
      <c r="K332">
        <v>3</v>
      </c>
      <c r="L332" t="s">
        <v>46</v>
      </c>
    </row>
    <row r="333" spans="1:12" outlineLevel="3">
      <c r="A333" t="s">
        <v>37</v>
      </c>
      <c r="B333" t="s">
        <v>462</v>
      </c>
      <c r="C333" t="str">
        <f>CONCATENATE(E333,G333,I333,H333,J333)</f>
        <v>MV215FHB-N20-48S0F0J96D</v>
      </c>
      <c r="D333" t="s">
        <v>463</v>
      </c>
      <c r="E333" t="s">
        <v>133</v>
      </c>
      <c r="F333" t="s">
        <v>55</v>
      </c>
      <c r="G333" t="s">
        <v>56</v>
      </c>
      <c r="H333" t="s">
        <v>57</v>
      </c>
      <c r="I333" t="s">
        <v>58</v>
      </c>
      <c r="J333" t="s">
        <v>45</v>
      </c>
      <c r="K333">
        <v>20</v>
      </c>
    </row>
    <row r="334" spans="1:12" outlineLevel="2">
      <c r="C334" t="s">
        <v>899</v>
      </c>
      <c r="K334">
        <f>SUBTOTAL(3,K332:K333)</f>
        <v>2</v>
      </c>
    </row>
    <row r="335" spans="1:12" outlineLevel="1">
      <c r="C335" t="s">
        <v>724</v>
      </c>
      <c r="K335">
        <f>SUBTOTAL(9,K332:K333)</f>
        <v>23</v>
      </c>
    </row>
    <row r="336" spans="1:12" outlineLevel="3">
      <c r="A336" t="s">
        <v>37</v>
      </c>
      <c r="B336" t="s">
        <v>38</v>
      </c>
      <c r="C336" t="str">
        <f>CONCATENATE(E336,G336,I336,H336,J336)</f>
        <v>EV240WUM-N10-4WS0ASMC1D</v>
      </c>
      <c r="D336" t="s">
        <v>39</v>
      </c>
      <c r="E336" t="s">
        <v>40</v>
      </c>
      <c r="F336" t="s">
        <v>41</v>
      </c>
      <c r="G336" t="s">
        <v>42</v>
      </c>
      <c r="H336" t="s">
        <v>43</v>
      </c>
      <c r="I336" t="s">
        <v>44</v>
      </c>
      <c r="J336" t="s">
        <v>45</v>
      </c>
      <c r="K336">
        <v>7</v>
      </c>
      <c r="L336" t="s">
        <v>46</v>
      </c>
    </row>
    <row r="337" spans="1:12" outlineLevel="2">
      <c r="C337" t="s">
        <v>900</v>
      </c>
      <c r="K337">
        <f>SUBTOTAL(3,K336:K336)</f>
        <v>1</v>
      </c>
    </row>
    <row r="338" spans="1:12" outlineLevel="1">
      <c r="C338" t="s">
        <v>725</v>
      </c>
      <c r="K338">
        <f>SUBTOTAL(9,K336:K336)</f>
        <v>7</v>
      </c>
    </row>
    <row r="339" spans="1:12" outlineLevel="3">
      <c r="A339" t="s">
        <v>37</v>
      </c>
      <c r="B339" t="s">
        <v>526</v>
      </c>
      <c r="C339" t="str">
        <f t="shared" ref="C339:C346" si="2">CONCATENATE(E339,G339,I339,H339,J339)</f>
        <v>DV550FHM-NVK-4WK1AAM06D</v>
      </c>
      <c r="D339" t="s">
        <v>527</v>
      </c>
      <c r="E339" t="s">
        <v>528</v>
      </c>
      <c r="F339" t="s">
        <v>41</v>
      </c>
      <c r="G339" t="s">
        <v>42</v>
      </c>
      <c r="H339" t="s">
        <v>188</v>
      </c>
      <c r="I339" t="s">
        <v>42</v>
      </c>
      <c r="J339" t="s">
        <v>45</v>
      </c>
      <c r="K339">
        <v>12</v>
      </c>
    </row>
    <row r="340" spans="1:12" outlineLevel="3">
      <c r="A340" t="s">
        <v>37</v>
      </c>
      <c r="B340" t="s">
        <v>541</v>
      </c>
      <c r="C340" t="str">
        <f t="shared" si="2"/>
        <v>DV550FHM-NVK-4WK1AAM06D</v>
      </c>
      <c r="D340" t="s">
        <v>542</v>
      </c>
      <c r="E340" t="s">
        <v>528</v>
      </c>
      <c r="F340" t="s">
        <v>41</v>
      </c>
      <c r="G340" t="s">
        <v>42</v>
      </c>
      <c r="H340" t="s">
        <v>188</v>
      </c>
      <c r="I340" t="s">
        <v>42</v>
      </c>
      <c r="J340" t="s">
        <v>45</v>
      </c>
      <c r="K340">
        <v>12</v>
      </c>
    </row>
    <row r="341" spans="1:12" outlineLevel="3">
      <c r="A341" t="s">
        <v>37</v>
      </c>
      <c r="B341" t="s">
        <v>551</v>
      </c>
      <c r="C341" t="str">
        <f t="shared" si="2"/>
        <v>DV550FHM-NVK-4WK1AAM06D</v>
      </c>
      <c r="D341" t="s">
        <v>552</v>
      </c>
      <c r="E341" t="s">
        <v>528</v>
      </c>
      <c r="F341" t="s">
        <v>41</v>
      </c>
      <c r="G341" t="s">
        <v>42</v>
      </c>
      <c r="H341" t="s">
        <v>188</v>
      </c>
      <c r="I341" t="s">
        <v>42</v>
      </c>
      <c r="J341" t="s">
        <v>45</v>
      </c>
      <c r="K341">
        <v>12</v>
      </c>
    </row>
    <row r="342" spans="1:12" outlineLevel="3">
      <c r="A342" t="s">
        <v>37</v>
      </c>
      <c r="B342" t="s">
        <v>553</v>
      </c>
      <c r="C342" t="str">
        <f t="shared" si="2"/>
        <v>DV550FHM-NVK-4WK1AAM06D</v>
      </c>
      <c r="D342" t="s">
        <v>554</v>
      </c>
      <c r="E342" t="s">
        <v>528</v>
      </c>
      <c r="F342" t="s">
        <v>41</v>
      </c>
      <c r="G342" t="s">
        <v>42</v>
      </c>
      <c r="H342" t="s">
        <v>188</v>
      </c>
      <c r="I342" t="s">
        <v>42</v>
      </c>
      <c r="J342" t="s">
        <v>45</v>
      </c>
      <c r="K342">
        <v>12</v>
      </c>
    </row>
    <row r="343" spans="1:12" outlineLevel="3">
      <c r="A343" t="s">
        <v>37</v>
      </c>
      <c r="B343" t="s">
        <v>555</v>
      </c>
      <c r="C343" t="str">
        <f t="shared" si="2"/>
        <v>DV550FHM-NVK-4WK1AAM06D</v>
      </c>
      <c r="D343" t="s">
        <v>556</v>
      </c>
      <c r="E343" t="s">
        <v>528</v>
      </c>
      <c r="F343" t="s">
        <v>41</v>
      </c>
      <c r="G343" t="s">
        <v>42</v>
      </c>
      <c r="H343" t="s">
        <v>188</v>
      </c>
      <c r="I343" t="s">
        <v>42</v>
      </c>
      <c r="J343" t="s">
        <v>45</v>
      </c>
      <c r="K343">
        <v>12</v>
      </c>
    </row>
    <row r="344" spans="1:12" outlineLevel="3">
      <c r="A344" t="s">
        <v>37</v>
      </c>
      <c r="B344" t="s">
        <v>557</v>
      </c>
      <c r="C344" t="str">
        <f t="shared" si="2"/>
        <v>DV550FHM-NVK-4WK1AAM06D</v>
      </c>
      <c r="D344" t="s">
        <v>558</v>
      </c>
      <c r="E344" t="s">
        <v>528</v>
      </c>
      <c r="F344" t="s">
        <v>41</v>
      </c>
      <c r="G344" t="s">
        <v>42</v>
      </c>
      <c r="H344" t="s">
        <v>188</v>
      </c>
      <c r="I344" t="s">
        <v>42</v>
      </c>
      <c r="J344" t="s">
        <v>45</v>
      </c>
      <c r="K344">
        <v>12</v>
      </c>
    </row>
    <row r="345" spans="1:12" outlineLevel="3">
      <c r="A345" t="s">
        <v>37</v>
      </c>
      <c r="B345" t="s">
        <v>559</v>
      </c>
      <c r="C345" t="str">
        <f t="shared" si="2"/>
        <v>DV550FHM-NVK-4WK1AAM06D</v>
      </c>
      <c r="D345" t="s">
        <v>560</v>
      </c>
      <c r="E345" t="s">
        <v>528</v>
      </c>
      <c r="F345" t="s">
        <v>41</v>
      </c>
      <c r="G345" t="s">
        <v>42</v>
      </c>
      <c r="H345" t="s">
        <v>188</v>
      </c>
      <c r="I345" t="s">
        <v>42</v>
      </c>
      <c r="J345" t="s">
        <v>45</v>
      </c>
      <c r="K345">
        <v>12</v>
      </c>
    </row>
    <row r="346" spans="1:12" outlineLevel="3">
      <c r="A346" t="s">
        <v>37</v>
      </c>
      <c r="B346" t="s">
        <v>561</v>
      </c>
      <c r="C346" t="str">
        <f t="shared" si="2"/>
        <v>DV550FHM-NVK-4WK1AAM06D</v>
      </c>
      <c r="D346" t="s">
        <v>562</v>
      </c>
      <c r="E346" t="s">
        <v>528</v>
      </c>
      <c r="F346" t="s">
        <v>41</v>
      </c>
      <c r="G346" t="s">
        <v>42</v>
      </c>
      <c r="H346" t="s">
        <v>188</v>
      </c>
      <c r="I346" t="s">
        <v>42</v>
      </c>
      <c r="J346" t="s">
        <v>45</v>
      </c>
      <c r="K346">
        <v>12</v>
      </c>
    </row>
    <row r="347" spans="1:12" outlineLevel="2">
      <c r="C347" t="s">
        <v>901</v>
      </c>
      <c r="K347">
        <f>SUBTOTAL(3,K339:K346)</f>
        <v>8</v>
      </c>
    </row>
    <row r="348" spans="1:12" outlineLevel="1">
      <c r="C348" t="s">
        <v>726</v>
      </c>
      <c r="K348">
        <f>SUBTOTAL(9,K339:K346)</f>
        <v>96</v>
      </c>
    </row>
    <row r="349" spans="1:12" outlineLevel="3">
      <c r="A349" t="s">
        <v>37</v>
      </c>
      <c r="B349" t="s">
        <v>311</v>
      </c>
      <c r="C349" t="str">
        <f>CONCATENATE(E349,G349,I349,H349,J349)</f>
        <v>DV550FHM-NHT-4WK0QRM06D</v>
      </c>
      <c r="D349" t="s">
        <v>312</v>
      </c>
      <c r="E349" t="s">
        <v>221</v>
      </c>
      <c r="F349" t="s">
        <v>41</v>
      </c>
      <c r="G349" t="s">
        <v>69</v>
      </c>
      <c r="H349" t="s">
        <v>188</v>
      </c>
      <c r="I349" t="s">
        <v>192</v>
      </c>
      <c r="J349" t="s">
        <v>45</v>
      </c>
      <c r="K349">
        <v>10</v>
      </c>
    </row>
    <row r="350" spans="1:12" outlineLevel="2">
      <c r="C350" t="s">
        <v>902</v>
      </c>
      <c r="K350">
        <f>SUBTOTAL(3,K349:K349)</f>
        <v>1</v>
      </c>
    </row>
    <row r="351" spans="1:12" outlineLevel="1">
      <c r="C351" t="s">
        <v>727</v>
      </c>
      <c r="K351">
        <f>SUBTOTAL(9,K349:K349)</f>
        <v>10</v>
      </c>
    </row>
    <row r="352" spans="1:12" outlineLevel="3">
      <c r="A352" t="s">
        <v>37</v>
      </c>
      <c r="B352" t="s">
        <v>219</v>
      </c>
      <c r="C352" t="str">
        <f>CONCATENATE(E352,G352,I352,H352,J352)</f>
        <v>DV550FHM-NHT-4WK0ALM06D</v>
      </c>
      <c r="D352" t="s">
        <v>220</v>
      </c>
      <c r="E352" t="s">
        <v>221</v>
      </c>
      <c r="F352" t="s">
        <v>41</v>
      </c>
      <c r="G352" t="s">
        <v>42</v>
      </c>
      <c r="H352" t="s">
        <v>188</v>
      </c>
      <c r="I352" t="s">
        <v>105</v>
      </c>
      <c r="J352" t="s">
        <v>45</v>
      </c>
      <c r="K352">
        <v>4</v>
      </c>
      <c r="L352" t="s">
        <v>46</v>
      </c>
    </row>
    <row r="353" spans="1:12" outlineLevel="2">
      <c r="C353" t="s">
        <v>903</v>
      </c>
      <c r="K353">
        <f>SUBTOTAL(3,K352:K352)</f>
        <v>1</v>
      </c>
    </row>
    <row r="354" spans="1:12" outlineLevel="1">
      <c r="C354" t="s">
        <v>728</v>
      </c>
      <c r="K354">
        <f>SUBTOTAL(9,K352:K352)</f>
        <v>4</v>
      </c>
    </row>
    <row r="355" spans="1:12" outlineLevel="3">
      <c r="A355" t="s">
        <v>37</v>
      </c>
      <c r="B355" t="s">
        <v>222</v>
      </c>
      <c r="C355" t="str">
        <f>CONCATENATE(E355,G355,I355,H355,J355)</f>
        <v>DV550FHM-NHT-4WK0A0M06D</v>
      </c>
      <c r="D355" t="s">
        <v>223</v>
      </c>
      <c r="E355" t="s">
        <v>221</v>
      </c>
      <c r="F355" t="s">
        <v>41</v>
      </c>
      <c r="G355" t="s">
        <v>42</v>
      </c>
      <c r="H355" t="s">
        <v>188</v>
      </c>
      <c r="I355" t="s">
        <v>58</v>
      </c>
      <c r="J355" t="s">
        <v>45</v>
      </c>
      <c r="K355">
        <v>2</v>
      </c>
      <c r="L355" t="s">
        <v>46</v>
      </c>
    </row>
    <row r="356" spans="1:12" outlineLevel="2">
      <c r="C356" t="s">
        <v>904</v>
      </c>
      <c r="K356">
        <f>SUBTOTAL(3,K355:K355)</f>
        <v>1</v>
      </c>
    </row>
    <row r="357" spans="1:12" outlineLevel="1">
      <c r="C357" t="s">
        <v>729</v>
      </c>
      <c r="K357">
        <f>SUBTOTAL(9,K355:K355)</f>
        <v>2</v>
      </c>
    </row>
    <row r="358" spans="1:12" outlineLevel="3">
      <c r="A358" t="s">
        <v>37</v>
      </c>
      <c r="B358" t="s">
        <v>532</v>
      </c>
      <c r="C358" t="str">
        <f t="shared" ref="C358:C364" si="3">CONCATENATE(E358,G358,I358,H358,J358)</f>
        <v>DV550FHB-NVM-4WK1Q0M01D</v>
      </c>
      <c r="D358" t="s">
        <v>533</v>
      </c>
      <c r="E358" t="s">
        <v>534</v>
      </c>
      <c r="F358" t="s">
        <v>55</v>
      </c>
      <c r="G358" t="s">
        <v>69</v>
      </c>
      <c r="H358" t="s">
        <v>61</v>
      </c>
      <c r="I358" t="s">
        <v>58</v>
      </c>
      <c r="J358" t="s">
        <v>45</v>
      </c>
      <c r="K358">
        <v>4</v>
      </c>
    </row>
    <row r="359" spans="1:12" outlineLevel="3">
      <c r="A359" t="s">
        <v>37</v>
      </c>
      <c r="B359" t="s">
        <v>563</v>
      </c>
      <c r="C359" t="str">
        <f t="shared" si="3"/>
        <v>DV550FHB-NVM-4WK1Q0M01D</v>
      </c>
      <c r="D359" t="s">
        <v>564</v>
      </c>
      <c r="E359" t="s">
        <v>534</v>
      </c>
      <c r="F359" t="s">
        <v>55</v>
      </c>
      <c r="G359" t="s">
        <v>69</v>
      </c>
      <c r="H359" t="s">
        <v>61</v>
      </c>
      <c r="I359" t="s">
        <v>58</v>
      </c>
      <c r="J359" t="s">
        <v>45</v>
      </c>
      <c r="K359">
        <v>5</v>
      </c>
    </row>
    <row r="360" spans="1:12" outlineLevel="3">
      <c r="A360" t="s">
        <v>37</v>
      </c>
      <c r="B360" t="s">
        <v>565</v>
      </c>
      <c r="C360" t="str">
        <f t="shared" si="3"/>
        <v>DV550FHB-NVM-4WK1Q0M01D</v>
      </c>
      <c r="D360" t="s">
        <v>566</v>
      </c>
      <c r="E360" t="s">
        <v>534</v>
      </c>
      <c r="F360" t="s">
        <v>55</v>
      </c>
      <c r="G360" t="s">
        <v>69</v>
      </c>
      <c r="H360" t="s">
        <v>61</v>
      </c>
      <c r="I360" t="s">
        <v>58</v>
      </c>
      <c r="J360" t="s">
        <v>45</v>
      </c>
      <c r="K360">
        <v>7</v>
      </c>
    </row>
    <row r="361" spans="1:12" outlineLevel="3">
      <c r="A361" t="s">
        <v>37</v>
      </c>
      <c r="B361" t="s">
        <v>570</v>
      </c>
      <c r="C361" t="str">
        <f t="shared" si="3"/>
        <v>DV550FHB-NVM-4WK1Q0M01D</v>
      </c>
      <c r="D361" t="s">
        <v>571</v>
      </c>
      <c r="E361" t="s">
        <v>534</v>
      </c>
      <c r="F361" t="s">
        <v>55</v>
      </c>
      <c r="G361" t="s">
        <v>69</v>
      </c>
      <c r="H361" t="s">
        <v>61</v>
      </c>
      <c r="I361" t="s">
        <v>58</v>
      </c>
      <c r="J361" t="s">
        <v>45</v>
      </c>
      <c r="K361">
        <v>8</v>
      </c>
    </row>
    <row r="362" spans="1:12" outlineLevel="3">
      <c r="A362" t="s">
        <v>37</v>
      </c>
      <c r="B362" t="s">
        <v>574</v>
      </c>
      <c r="C362" t="str">
        <f t="shared" si="3"/>
        <v>DV550FHB-NVM-4WK1Q0M01D</v>
      </c>
      <c r="D362" t="s">
        <v>575</v>
      </c>
      <c r="E362" t="s">
        <v>534</v>
      </c>
      <c r="F362" t="s">
        <v>55</v>
      </c>
      <c r="G362" t="s">
        <v>69</v>
      </c>
      <c r="H362" t="s">
        <v>61</v>
      </c>
      <c r="I362" t="s">
        <v>58</v>
      </c>
      <c r="J362" t="s">
        <v>45</v>
      </c>
      <c r="K362">
        <v>7</v>
      </c>
    </row>
    <row r="363" spans="1:12" outlineLevel="3">
      <c r="A363" t="s">
        <v>37</v>
      </c>
      <c r="B363" t="s">
        <v>576</v>
      </c>
      <c r="C363" t="str">
        <f t="shared" si="3"/>
        <v>DV550FHB-NVM-4WK1Q0M01D</v>
      </c>
      <c r="D363" t="s">
        <v>577</v>
      </c>
      <c r="E363" t="s">
        <v>534</v>
      </c>
      <c r="F363" t="s">
        <v>55</v>
      </c>
      <c r="G363" t="s">
        <v>69</v>
      </c>
      <c r="H363" t="s">
        <v>61</v>
      </c>
      <c r="I363" t="s">
        <v>58</v>
      </c>
      <c r="J363" t="s">
        <v>45</v>
      </c>
      <c r="K363">
        <v>5</v>
      </c>
    </row>
    <row r="364" spans="1:12" outlineLevel="3">
      <c r="A364" t="s">
        <v>37</v>
      </c>
      <c r="B364" t="s">
        <v>578</v>
      </c>
      <c r="C364" t="str">
        <f t="shared" si="3"/>
        <v>DV550FHB-NVM-4WK1Q0M01D</v>
      </c>
      <c r="D364" t="s">
        <v>579</v>
      </c>
      <c r="E364" t="s">
        <v>534</v>
      </c>
      <c r="F364" t="s">
        <v>55</v>
      </c>
      <c r="G364" t="s">
        <v>69</v>
      </c>
      <c r="H364" t="s">
        <v>61</v>
      </c>
      <c r="I364" t="s">
        <v>58</v>
      </c>
      <c r="J364" t="s">
        <v>45</v>
      </c>
      <c r="K364">
        <v>4</v>
      </c>
    </row>
    <row r="365" spans="1:12" outlineLevel="2">
      <c r="C365" t="s">
        <v>905</v>
      </c>
      <c r="K365">
        <f>SUBTOTAL(3,K358:K364)</f>
        <v>7</v>
      </c>
    </row>
    <row r="366" spans="1:12" outlineLevel="1">
      <c r="C366" t="s">
        <v>730</v>
      </c>
      <c r="K366">
        <f>SUBTOTAL(9,K358:K364)</f>
        <v>40</v>
      </c>
    </row>
    <row r="367" spans="1:12" outlineLevel="3">
      <c r="A367" t="s">
        <v>37</v>
      </c>
      <c r="B367" t="s">
        <v>193</v>
      </c>
      <c r="C367" t="str">
        <f>CONCATENATE(E367,G367,I367,H367,J367)</f>
        <v>DV550FHB-NVH-4WK2Q0M01D</v>
      </c>
      <c r="D367" t="s">
        <v>194</v>
      </c>
      <c r="E367" t="s">
        <v>195</v>
      </c>
      <c r="F367" t="s">
        <v>55</v>
      </c>
      <c r="G367" t="s">
        <v>69</v>
      </c>
      <c r="H367" t="s">
        <v>61</v>
      </c>
      <c r="I367" t="s">
        <v>58</v>
      </c>
      <c r="J367" t="s">
        <v>45</v>
      </c>
      <c r="K367">
        <v>10</v>
      </c>
      <c r="L367" t="s">
        <v>46</v>
      </c>
    </row>
    <row r="368" spans="1:12" outlineLevel="2">
      <c r="C368" t="s">
        <v>906</v>
      </c>
      <c r="K368">
        <f>SUBTOTAL(3,K367:K367)</f>
        <v>1</v>
      </c>
    </row>
    <row r="369" spans="1:12" outlineLevel="1">
      <c r="C369" t="s">
        <v>731</v>
      </c>
      <c r="K369">
        <f>SUBTOTAL(9,K367:K367)</f>
        <v>10</v>
      </c>
    </row>
    <row r="370" spans="1:12" outlineLevel="3">
      <c r="A370" t="s">
        <v>37</v>
      </c>
      <c r="B370" t="s">
        <v>307</v>
      </c>
      <c r="C370" t="str">
        <f>CONCATENATE(E370,G370,I370,H370,J370)</f>
        <v>DV550FHB-NVH-4WK2FLJ96D</v>
      </c>
      <c r="D370" t="s">
        <v>308</v>
      </c>
      <c r="E370" t="s">
        <v>195</v>
      </c>
      <c r="F370" t="s">
        <v>55</v>
      </c>
      <c r="G370" t="s">
        <v>56</v>
      </c>
      <c r="H370" t="s">
        <v>57</v>
      </c>
      <c r="I370" t="s">
        <v>105</v>
      </c>
      <c r="J370" t="s">
        <v>45</v>
      </c>
      <c r="K370">
        <v>1</v>
      </c>
      <c r="L370" t="s">
        <v>46</v>
      </c>
    </row>
    <row r="371" spans="1:12" outlineLevel="3">
      <c r="A371" t="s">
        <v>37</v>
      </c>
      <c r="B371" t="s">
        <v>329</v>
      </c>
      <c r="C371" t="str">
        <f>CONCATENATE(E371,G371,I371,H371,J371)</f>
        <v>DV550FHB-NVH-4WK2FLJ96D</v>
      </c>
      <c r="D371" t="s">
        <v>330</v>
      </c>
      <c r="E371" t="s">
        <v>195</v>
      </c>
      <c r="F371" t="s">
        <v>55</v>
      </c>
      <c r="G371" t="s">
        <v>56</v>
      </c>
      <c r="H371" t="s">
        <v>57</v>
      </c>
      <c r="I371" t="s">
        <v>105</v>
      </c>
      <c r="J371" t="s">
        <v>45</v>
      </c>
      <c r="K371">
        <v>1</v>
      </c>
    </row>
    <row r="372" spans="1:12" outlineLevel="3">
      <c r="A372" t="s">
        <v>37</v>
      </c>
      <c r="B372" t="s">
        <v>339</v>
      </c>
      <c r="C372" t="str">
        <f>CONCATENATE(E372,G372,I372,H372,J372)</f>
        <v>DV550FHB-NVH-4WK2FLJ96D</v>
      </c>
      <c r="D372" t="s">
        <v>340</v>
      </c>
      <c r="E372" t="s">
        <v>195</v>
      </c>
      <c r="F372" t="s">
        <v>55</v>
      </c>
      <c r="G372" t="s">
        <v>56</v>
      </c>
      <c r="H372" t="s">
        <v>57</v>
      </c>
      <c r="I372" t="s">
        <v>105</v>
      </c>
      <c r="J372" t="s">
        <v>45</v>
      </c>
      <c r="K372">
        <v>8</v>
      </c>
    </row>
    <row r="373" spans="1:12" outlineLevel="2">
      <c r="C373" t="s">
        <v>907</v>
      </c>
      <c r="K373">
        <f>SUBTOTAL(3,K370:K372)</f>
        <v>3</v>
      </c>
    </row>
    <row r="374" spans="1:12" outlineLevel="1">
      <c r="C374" t="s">
        <v>732</v>
      </c>
      <c r="K374">
        <f>SUBTOTAL(9,K370:K372)</f>
        <v>10</v>
      </c>
    </row>
    <row r="375" spans="1:12" outlineLevel="3">
      <c r="A375" t="s">
        <v>37</v>
      </c>
      <c r="B375" t="s">
        <v>499</v>
      </c>
      <c r="C375" t="str">
        <f>CONCATENATE(E375,G375,I375,H375,J375)</f>
        <v>DV550FHB-NVH-4WK2F0J97D</v>
      </c>
      <c r="D375" t="s">
        <v>500</v>
      </c>
      <c r="E375" t="s">
        <v>195</v>
      </c>
      <c r="F375" t="s">
        <v>55</v>
      </c>
      <c r="G375" t="s">
        <v>56</v>
      </c>
      <c r="H375" t="s">
        <v>175</v>
      </c>
      <c r="I375" t="s">
        <v>58</v>
      </c>
      <c r="J375" t="s">
        <v>45</v>
      </c>
      <c r="K375">
        <v>2</v>
      </c>
    </row>
    <row r="376" spans="1:12" outlineLevel="2">
      <c r="C376" t="s">
        <v>908</v>
      </c>
      <c r="K376">
        <f>SUBTOTAL(3,K375:K375)</f>
        <v>1</v>
      </c>
    </row>
    <row r="377" spans="1:12" outlineLevel="1">
      <c r="C377" t="s">
        <v>733</v>
      </c>
      <c r="K377">
        <f>SUBTOTAL(9,K375:K375)</f>
        <v>2</v>
      </c>
    </row>
    <row r="378" spans="1:12" outlineLevel="3">
      <c r="A378" t="s">
        <v>37</v>
      </c>
      <c r="B378" t="s">
        <v>497</v>
      </c>
      <c r="C378" t="str">
        <f>CONCATENATE(E378,G378,I378,H378,J378)</f>
        <v>DV550FHB-NVH-4WK2F0J96D</v>
      </c>
      <c r="D378" t="s">
        <v>498</v>
      </c>
      <c r="E378" t="s">
        <v>195</v>
      </c>
      <c r="F378" t="s">
        <v>55</v>
      </c>
      <c r="G378" t="s">
        <v>56</v>
      </c>
      <c r="H378" t="s">
        <v>57</v>
      </c>
      <c r="I378" t="s">
        <v>58</v>
      </c>
      <c r="J378" t="s">
        <v>45</v>
      </c>
      <c r="K378">
        <v>6</v>
      </c>
    </row>
    <row r="379" spans="1:12" outlineLevel="3">
      <c r="A379" t="s">
        <v>37</v>
      </c>
      <c r="B379" t="s">
        <v>510</v>
      </c>
      <c r="C379" t="str">
        <f>CONCATENATE(E379,G379,I379,H379,J379)</f>
        <v>DV550FHB-NVH-4WK2F0J96D</v>
      </c>
      <c r="D379" t="s">
        <v>511</v>
      </c>
      <c r="E379" t="s">
        <v>195</v>
      </c>
      <c r="F379" t="s">
        <v>55</v>
      </c>
      <c r="G379" t="s">
        <v>56</v>
      </c>
      <c r="H379" t="s">
        <v>57</v>
      </c>
      <c r="I379" t="s">
        <v>58</v>
      </c>
      <c r="J379" t="s">
        <v>45</v>
      </c>
      <c r="K379">
        <v>11</v>
      </c>
    </row>
    <row r="380" spans="1:12" outlineLevel="3">
      <c r="A380" t="s">
        <v>37</v>
      </c>
      <c r="B380" t="s">
        <v>572</v>
      </c>
      <c r="C380" t="str">
        <f>CONCATENATE(E380,G380,I380,H380,J380)</f>
        <v>DV550FHB-NVH-4WK2F0J96D</v>
      </c>
      <c r="D380" t="s">
        <v>573</v>
      </c>
      <c r="E380" t="s">
        <v>195</v>
      </c>
      <c r="F380" t="s">
        <v>55</v>
      </c>
      <c r="G380" t="s">
        <v>56</v>
      </c>
      <c r="H380" t="s">
        <v>57</v>
      </c>
      <c r="I380" t="s">
        <v>58</v>
      </c>
      <c r="J380" t="s">
        <v>45</v>
      </c>
      <c r="K380">
        <v>11</v>
      </c>
    </row>
    <row r="381" spans="1:12" outlineLevel="2">
      <c r="C381" t="s">
        <v>909</v>
      </c>
      <c r="K381">
        <f>SUBTOTAL(3,K378:K380)</f>
        <v>3</v>
      </c>
    </row>
    <row r="382" spans="1:12" outlineLevel="1">
      <c r="C382" t="s">
        <v>734</v>
      </c>
      <c r="K382">
        <f>SUBTOTAL(9,K378:K380)</f>
        <v>28</v>
      </c>
    </row>
    <row r="383" spans="1:12" outlineLevel="3">
      <c r="A383" t="s">
        <v>37</v>
      </c>
      <c r="B383" t="s">
        <v>512</v>
      </c>
      <c r="C383" t="str">
        <f>CONCATENATE(E383,G383,I383,H383,J383)</f>
        <v>DV550FHB-NVH-4MK1Q0MC1D</v>
      </c>
      <c r="D383" t="s">
        <v>513</v>
      </c>
      <c r="E383" t="s">
        <v>514</v>
      </c>
      <c r="F383" t="s">
        <v>55</v>
      </c>
      <c r="G383" t="s">
        <v>69</v>
      </c>
      <c r="H383" t="s">
        <v>43</v>
      </c>
      <c r="I383" t="s">
        <v>58</v>
      </c>
      <c r="J383" t="s">
        <v>45</v>
      </c>
      <c r="K383">
        <v>12</v>
      </c>
    </row>
    <row r="384" spans="1:12" outlineLevel="2">
      <c r="C384" t="s">
        <v>910</v>
      </c>
      <c r="K384">
        <f>SUBTOTAL(3,K383:K383)</f>
        <v>1</v>
      </c>
    </row>
    <row r="385" spans="1:12" outlineLevel="1">
      <c r="C385" t="s">
        <v>735</v>
      </c>
      <c r="K385">
        <f>SUBTOTAL(9,K383:K383)</f>
        <v>12</v>
      </c>
    </row>
    <row r="386" spans="1:12" outlineLevel="3">
      <c r="A386" t="s">
        <v>37</v>
      </c>
      <c r="B386" t="s">
        <v>66</v>
      </c>
      <c r="C386" t="str">
        <f>CONCATENATE(E386,G386,I386,H386,J386)</f>
        <v>DV550FHB-NV2-4WK4Q0M01D</v>
      </c>
      <c r="D386" t="s">
        <v>67</v>
      </c>
      <c r="E386" t="s">
        <v>68</v>
      </c>
      <c r="F386" t="s">
        <v>55</v>
      </c>
      <c r="G386" t="s">
        <v>69</v>
      </c>
      <c r="H386" t="s">
        <v>61</v>
      </c>
      <c r="I386" t="s">
        <v>58</v>
      </c>
      <c r="J386" t="s">
        <v>45</v>
      </c>
      <c r="K386">
        <v>4</v>
      </c>
      <c r="L386" t="s">
        <v>46</v>
      </c>
    </row>
    <row r="387" spans="1:12" outlineLevel="3">
      <c r="A387" t="s">
        <v>37</v>
      </c>
      <c r="B387" t="s">
        <v>140</v>
      </c>
      <c r="C387" t="str">
        <f>CONCATENATE(E387,G387,I387,H387,J387)</f>
        <v>DV550FHB-NV2-4WK4Q0M01D</v>
      </c>
      <c r="D387" t="s">
        <v>141</v>
      </c>
      <c r="E387" t="s">
        <v>68</v>
      </c>
      <c r="F387" t="s">
        <v>55</v>
      </c>
      <c r="G387" t="s">
        <v>69</v>
      </c>
      <c r="H387" t="s">
        <v>61</v>
      </c>
      <c r="I387" t="s">
        <v>58</v>
      </c>
      <c r="J387" t="s">
        <v>45</v>
      </c>
      <c r="K387">
        <v>1</v>
      </c>
      <c r="L387" t="s">
        <v>46</v>
      </c>
    </row>
    <row r="388" spans="1:12" outlineLevel="2">
      <c r="C388" t="s">
        <v>911</v>
      </c>
      <c r="K388">
        <f>SUBTOTAL(3,K386:K387)</f>
        <v>2</v>
      </c>
    </row>
    <row r="389" spans="1:12" outlineLevel="1">
      <c r="C389" t="s">
        <v>736</v>
      </c>
      <c r="K389">
        <f>SUBTOTAL(9,K386:K387)</f>
        <v>5</v>
      </c>
    </row>
    <row r="390" spans="1:12" outlineLevel="3">
      <c r="A390" t="s">
        <v>37</v>
      </c>
      <c r="B390" t="s">
        <v>320</v>
      </c>
      <c r="C390" t="str">
        <f>CONCATENATE(E390,G390,I390,H390,J390)</f>
        <v>DV550FHB-NV2-4WK4FMJ97D</v>
      </c>
      <c r="D390" t="s">
        <v>321</v>
      </c>
      <c r="E390" t="s">
        <v>68</v>
      </c>
      <c r="F390" t="s">
        <v>55</v>
      </c>
      <c r="G390" t="s">
        <v>56</v>
      </c>
      <c r="H390" t="s">
        <v>175</v>
      </c>
      <c r="I390" t="s">
        <v>176</v>
      </c>
      <c r="J390" t="s">
        <v>45</v>
      </c>
      <c r="K390">
        <v>3</v>
      </c>
    </row>
    <row r="391" spans="1:12" outlineLevel="2">
      <c r="C391" t="s">
        <v>912</v>
      </c>
      <c r="K391">
        <f>SUBTOTAL(3,K390:K390)</f>
        <v>1</v>
      </c>
    </row>
    <row r="392" spans="1:12" outlineLevel="1">
      <c r="C392" t="s">
        <v>737</v>
      </c>
      <c r="K392">
        <f>SUBTOTAL(9,K390:K390)</f>
        <v>3</v>
      </c>
    </row>
    <row r="393" spans="1:12" outlineLevel="3">
      <c r="A393" t="s">
        <v>37</v>
      </c>
      <c r="B393" t="s">
        <v>341</v>
      </c>
      <c r="C393" t="str">
        <f>CONCATENATE(E393,G393,I393,H393,J393)</f>
        <v>DV550FHB-NV2-4WK4FLJ96D</v>
      </c>
      <c r="D393" t="s">
        <v>342</v>
      </c>
      <c r="E393" t="s">
        <v>68</v>
      </c>
      <c r="F393" t="s">
        <v>55</v>
      </c>
      <c r="G393" t="s">
        <v>56</v>
      </c>
      <c r="H393" t="s">
        <v>57</v>
      </c>
      <c r="I393" t="s">
        <v>105</v>
      </c>
      <c r="J393" t="s">
        <v>45</v>
      </c>
      <c r="K393">
        <v>3</v>
      </c>
    </row>
    <row r="394" spans="1:12" outlineLevel="2">
      <c r="C394" t="s">
        <v>913</v>
      </c>
      <c r="K394">
        <f>SUBTOTAL(3,K393:K393)</f>
        <v>1</v>
      </c>
    </row>
    <row r="395" spans="1:12" outlineLevel="1">
      <c r="C395" t="s">
        <v>738</v>
      </c>
      <c r="K395">
        <f>SUBTOTAL(9,K393:K393)</f>
        <v>3</v>
      </c>
    </row>
    <row r="396" spans="1:12" outlineLevel="3">
      <c r="A396" t="s">
        <v>37</v>
      </c>
      <c r="B396" t="s">
        <v>142</v>
      </c>
      <c r="C396" t="str">
        <f>CONCATENATE(E396,G396,I396,H396,J396)</f>
        <v>DV550FHB-NV2-4WK4F0J96D</v>
      </c>
      <c r="D396" t="s">
        <v>143</v>
      </c>
      <c r="E396" t="s">
        <v>68</v>
      </c>
      <c r="F396" t="s">
        <v>55</v>
      </c>
      <c r="G396" t="s">
        <v>56</v>
      </c>
      <c r="H396" t="s">
        <v>57</v>
      </c>
      <c r="I396" t="s">
        <v>58</v>
      </c>
      <c r="J396" t="s">
        <v>45</v>
      </c>
      <c r="K396">
        <v>2</v>
      </c>
      <c r="L396" t="s">
        <v>46</v>
      </c>
    </row>
    <row r="397" spans="1:12" outlineLevel="2">
      <c r="C397" t="s">
        <v>914</v>
      </c>
      <c r="K397">
        <f>SUBTOTAL(3,K396:K396)</f>
        <v>1</v>
      </c>
    </row>
    <row r="398" spans="1:12" outlineLevel="1">
      <c r="C398" t="s">
        <v>739</v>
      </c>
      <c r="K398">
        <f>SUBTOTAL(9,K396:K396)</f>
        <v>2</v>
      </c>
    </row>
    <row r="399" spans="1:12" outlineLevel="3">
      <c r="A399" t="s">
        <v>37</v>
      </c>
      <c r="B399" t="s">
        <v>260</v>
      </c>
      <c r="C399" t="str">
        <f>CONCATENATE(E399,G399,I399,H399,J399)</f>
        <v>DV550FHB-NV2-4WK4AXM08D</v>
      </c>
      <c r="D399" t="s">
        <v>261</v>
      </c>
      <c r="E399" t="s">
        <v>68</v>
      </c>
      <c r="F399" t="s">
        <v>55</v>
      </c>
      <c r="G399" t="s">
        <v>42</v>
      </c>
      <c r="H399" t="s">
        <v>65</v>
      </c>
      <c r="I399" t="s">
        <v>262</v>
      </c>
      <c r="J399" t="s">
        <v>45</v>
      </c>
      <c r="K399">
        <v>3</v>
      </c>
      <c r="L399" t="s">
        <v>46</v>
      </c>
    </row>
    <row r="400" spans="1:12" outlineLevel="2">
      <c r="C400" t="s">
        <v>915</v>
      </c>
      <c r="K400">
        <f>SUBTOTAL(3,K399:K399)</f>
        <v>1</v>
      </c>
    </row>
    <row r="401" spans="1:12" outlineLevel="1">
      <c r="C401" t="s">
        <v>740</v>
      </c>
      <c r="K401">
        <f>SUBTOTAL(9,K399:K399)</f>
        <v>3</v>
      </c>
    </row>
    <row r="402" spans="1:12" outlineLevel="3">
      <c r="A402" t="s">
        <v>37</v>
      </c>
      <c r="B402" t="s">
        <v>126</v>
      </c>
      <c r="C402" t="str">
        <f>CONCATENATE(E402,G402,I402,H402,J402)</f>
        <v>DV550FHB-NV2-4WK4A0M08D</v>
      </c>
      <c r="D402" t="s">
        <v>127</v>
      </c>
      <c r="E402" t="s">
        <v>68</v>
      </c>
      <c r="F402" t="s">
        <v>55</v>
      </c>
      <c r="G402" t="s">
        <v>42</v>
      </c>
      <c r="H402" t="s">
        <v>65</v>
      </c>
      <c r="I402" t="s">
        <v>58</v>
      </c>
      <c r="J402" t="s">
        <v>45</v>
      </c>
      <c r="K402">
        <v>3</v>
      </c>
      <c r="L402" t="s">
        <v>46</v>
      </c>
    </row>
    <row r="403" spans="1:12" outlineLevel="2">
      <c r="C403" t="s">
        <v>916</v>
      </c>
      <c r="K403">
        <f>SUBTOTAL(3,K402:K402)</f>
        <v>1</v>
      </c>
    </row>
    <row r="404" spans="1:12" outlineLevel="1">
      <c r="C404" t="s">
        <v>741</v>
      </c>
      <c r="K404">
        <f>SUBTOTAL(9,K402:K402)</f>
        <v>3</v>
      </c>
    </row>
    <row r="405" spans="1:12" outlineLevel="3">
      <c r="A405" t="s">
        <v>37</v>
      </c>
      <c r="B405" t="s">
        <v>186</v>
      </c>
      <c r="C405" t="str">
        <f>CONCATENATE(E405,G405,I405,H405,J405)</f>
        <v>DV550FHB-NV2-4WK3Q0M06D</v>
      </c>
      <c r="D405" t="s">
        <v>187</v>
      </c>
      <c r="E405" t="s">
        <v>146</v>
      </c>
      <c r="F405" t="s">
        <v>55</v>
      </c>
      <c r="G405" t="s">
        <v>69</v>
      </c>
      <c r="H405" t="s">
        <v>188</v>
      </c>
      <c r="I405" t="s">
        <v>58</v>
      </c>
      <c r="J405" t="s">
        <v>45</v>
      </c>
      <c r="K405">
        <v>3</v>
      </c>
      <c r="L405" t="s">
        <v>46</v>
      </c>
    </row>
    <row r="406" spans="1:12" outlineLevel="2">
      <c r="C406" t="s">
        <v>917</v>
      </c>
      <c r="K406">
        <f>SUBTOTAL(3,K405:K405)</f>
        <v>1</v>
      </c>
    </row>
    <row r="407" spans="1:12" outlineLevel="1">
      <c r="C407" t="s">
        <v>742</v>
      </c>
      <c r="K407">
        <f>SUBTOTAL(9,K405:K405)</f>
        <v>3</v>
      </c>
    </row>
    <row r="408" spans="1:12" outlineLevel="3">
      <c r="A408" t="s">
        <v>37</v>
      </c>
      <c r="B408" t="s">
        <v>181</v>
      </c>
      <c r="C408" t="str">
        <f>CONCATENATE(E408,G408,I408,H408,J408)</f>
        <v>DV550FHB-NV2-4WK3F0J96D</v>
      </c>
      <c r="D408" t="s">
        <v>182</v>
      </c>
      <c r="E408" t="s">
        <v>146</v>
      </c>
      <c r="F408" t="s">
        <v>55</v>
      </c>
      <c r="G408" t="s">
        <v>56</v>
      </c>
      <c r="H408" t="s">
        <v>57</v>
      </c>
      <c r="I408" t="s">
        <v>58</v>
      </c>
      <c r="J408" t="s">
        <v>45</v>
      </c>
      <c r="K408">
        <v>2</v>
      </c>
      <c r="L408" t="s">
        <v>46</v>
      </c>
    </row>
    <row r="409" spans="1:12" outlineLevel="2">
      <c r="C409" t="s">
        <v>918</v>
      </c>
      <c r="K409">
        <f>SUBTOTAL(3,K408:K408)</f>
        <v>1</v>
      </c>
    </row>
    <row r="410" spans="1:12" outlineLevel="1">
      <c r="C410" t="s">
        <v>743</v>
      </c>
      <c r="K410">
        <f>SUBTOTAL(9,K408:K408)</f>
        <v>2</v>
      </c>
    </row>
    <row r="411" spans="1:12" outlineLevel="3">
      <c r="A411" t="s">
        <v>37</v>
      </c>
      <c r="B411" t="s">
        <v>144</v>
      </c>
      <c r="C411" t="str">
        <f>CONCATENATE(E411,G411,I411,H411,J411)</f>
        <v>DV550FHB-NV2-4WK3A0M08D</v>
      </c>
      <c r="D411" t="s">
        <v>145</v>
      </c>
      <c r="E411" t="s">
        <v>146</v>
      </c>
      <c r="F411" t="s">
        <v>55</v>
      </c>
      <c r="G411" t="s">
        <v>42</v>
      </c>
      <c r="H411" t="s">
        <v>65</v>
      </c>
      <c r="I411" t="s">
        <v>58</v>
      </c>
      <c r="J411" t="s">
        <v>45</v>
      </c>
      <c r="K411">
        <v>2</v>
      </c>
      <c r="L411" t="s">
        <v>46</v>
      </c>
    </row>
    <row r="412" spans="1:12" outlineLevel="2">
      <c r="C412" t="s">
        <v>919</v>
      </c>
      <c r="K412">
        <f>SUBTOTAL(3,K411:K411)</f>
        <v>1</v>
      </c>
    </row>
    <row r="413" spans="1:12" outlineLevel="1">
      <c r="C413" t="s">
        <v>744</v>
      </c>
      <c r="K413">
        <f>SUBTOTAL(9,K411:K411)</f>
        <v>2</v>
      </c>
    </row>
    <row r="414" spans="1:12" outlineLevel="3">
      <c r="A414" t="s">
        <v>37</v>
      </c>
      <c r="B414" t="s">
        <v>324</v>
      </c>
      <c r="C414" t="str">
        <f>CONCATENATE(E414,G414,I414,H414,J414)</f>
        <v>DV550FHB-NV1-4WK3FLJ96D</v>
      </c>
      <c r="D414" t="s">
        <v>325</v>
      </c>
      <c r="E414" t="s">
        <v>191</v>
      </c>
      <c r="F414" t="s">
        <v>55</v>
      </c>
      <c r="G414" t="s">
        <v>56</v>
      </c>
      <c r="H414" t="s">
        <v>57</v>
      </c>
      <c r="I414" t="s">
        <v>105</v>
      </c>
      <c r="J414" t="s">
        <v>45</v>
      </c>
      <c r="K414">
        <v>10</v>
      </c>
    </row>
    <row r="415" spans="1:12" outlineLevel="2">
      <c r="C415" t="s">
        <v>920</v>
      </c>
      <c r="K415">
        <f>SUBTOTAL(3,K414:K414)</f>
        <v>1</v>
      </c>
    </row>
    <row r="416" spans="1:12" outlineLevel="1">
      <c r="C416" t="s">
        <v>745</v>
      </c>
      <c r="K416">
        <f>SUBTOTAL(9,K414:K414)</f>
        <v>10</v>
      </c>
    </row>
    <row r="417" spans="1:12" outlineLevel="3">
      <c r="A417" t="s">
        <v>37</v>
      </c>
      <c r="B417" t="s">
        <v>322</v>
      </c>
      <c r="C417" t="str">
        <f>CONCATENATE(E417,G417,I417,H417,J417)</f>
        <v>DV550FHB-NV1-4WK3AXM08D</v>
      </c>
      <c r="D417" t="s">
        <v>323</v>
      </c>
      <c r="E417" t="s">
        <v>191</v>
      </c>
      <c r="F417" t="s">
        <v>55</v>
      </c>
      <c r="G417" t="s">
        <v>42</v>
      </c>
      <c r="H417" t="s">
        <v>65</v>
      </c>
      <c r="I417" t="s">
        <v>262</v>
      </c>
      <c r="J417" t="s">
        <v>45</v>
      </c>
      <c r="K417">
        <v>11</v>
      </c>
    </row>
    <row r="418" spans="1:12" outlineLevel="2">
      <c r="C418" t="s">
        <v>921</v>
      </c>
      <c r="K418">
        <f>SUBTOTAL(3,K417:K417)</f>
        <v>1</v>
      </c>
    </row>
    <row r="419" spans="1:12" outlineLevel="1">
      <c r="C419" t="s">
        <v>746</v>
      </c>
      <c r="K419">
        <f>SUBTOTAL(9,K417:K417)</f>
        <v>11</v>
      </c>
    </row>
    <row r="420" spans="1:12" outlineLevel="3">
      <c r="A420" t="s">
        <v>37</v>
      </c>
      <c r="B420" t="s">
        <v>351</v>
      </c>
      <c r="C420" t="str">
        <f>CONCATENATE(E420,G420,I420,H420,J420)</f>
        <v>DV550FHB-NV1-4WK3ASM08D</v>
      </c>
      <c r="D420" t="s">
        <v>352</v>
      </c>
      <c r="E420" t="s">
        <v>191</v>
      </c>
      <c r="F420" t="s">
        <v>55</v>
      </c>
      <c r="G420" t="s">
        <v>42</v>
      </c>
      <c r="H420" t="s">
        <v>65</v>
      </c>
      <c r="I420" t="s">
        <v>44</v>
      </c>
      <c r="J420" t="s">
        <v>45</v>
      </c>
      <c r="K420">
        <v>7</v>
      </c>
    </row>
    <row r="421" spans="1:12" outlineLevel="2">
      <c r="C421" t="s">
        <v>922</v>
      </c>
      <c r="K421">
        <f>SUBTOTAL(3,K420:K420)</f>
        <v>1</v>
      </c>
    </row>
    <row r="422" spans="1:12" outlineLevel="1">
      <c r="C422" t="s">
        <v>747</v>
      </c>
      <c r="K422">
        <f>SUBTOTAL(9,K420:K420)</f>
        <v>7</v>
      </c>
    </row>
    <row r="423" spans="1:12" outlineLevel="3">
      <c r="A423" t="s">
        <v>37</v>
      </c>
      <c r="B423" t="s">
        <v>189</v>
      </c>
      <c r="C423" t="str">
        <f>CONCATENATE(E423,G423,I423,H423,J423)</f>
        <v>DV550FHB-NV1-4WK3ARM08D</v>
      </c>
      <c r="D423" t="s">
        <v>190</v>
      </c>
      <c r="E423" t="s">
        <v>191</v>
      </c>
      <c r="F423" t="s">
        <v>55</v>
      </c>
      <c r="G423" t="s">
        <v>42</v>
      </c>
      <c r="H423" t="s">
        <v>65</v>
      </c>
      <c r="I423" t="s">
        <v>192</v>
      </c>
      <c r="J423" t="s">
        <v>45</v>
      </c>
      <c r="K423">
        <v>2</v>
      </c>
      <c r="L423" t="s">
        <v>46</v>
      </c>
    </row>
    <row r="424" spans="1:12" outlineLevel="2">
      <c r="C424" t="s">
        <v>923</v>
      </c>
      <c r="K424">
        <f>SUBTOTAL(3,K423:K423)</f>
        <v>1</v>
      </c>
    </row>
    <row r="425" spans="1:12" outlineLevel="1">
      <c r="C425" t="s">
        <v>748</v>
      </c>
      <c r="K425">
        <f>SUBTOTAL(9,K423:K423)</f>
        <v>2</v>
      </c>
    </row>
    <row r="426" spans="1:12" outlineLevel="3">
      <c r="A426" t="s">
        <v>37</v>
      </c>
      <c r="B426" t="s">
        <v>331</v>
      </c>
      <c r="C426" t="str">
        <f>CONCATENATE(E426,G426,I426,H426,J426)</f>
        <v>DV550FHB-NV1-4WK3ALM08D</v>
      </c>
      <c r="D426" t="s">
        <v>332</v>
      </c>
      <c r="E426" t="s">
        <v>191</v>
      </c>
      <c r="F426" t="s">
        <v>55</v>
      </c>
      <c r="G426" t="s">
        <v>42</v>
      </c>
      <c r="H426" t="s">
        <v>65</v>
      </c>
      <c r="I426" t="s">
        <v>105</v>
      </c>
      <c r="J426" t="s">
        <v>45</v>
      </c>
      <c r="K426">
        <v>1</v>
      </c>
    </row>
    <row r="427" spans="1:12" outlineLevel="3">
      <c r="A427" t="s">
        <v>37</v>
      </c>
      <c r="B427" t="s">
        <v>337</v>
      </c>
      <c r="C427" t="str">
        <f>CONCATENATE(E427,G427,I427,H427,J427)</f>
        <v>DV550FHB-NV1-4WK3ALM08D</v>
      </c>
      <c r="D427" t="s">
        <v>338</v>
      </c>
      <c r="E427" t="s">
        <v>191</v>
      </c>
      <c r="F427" t="s">
        <v>55</v>
      </c>
      <c r="G427" t="s">
        <v>42</v>
      </c>
      <c r="H427" t="s">
        <v>65</v>
      </c>
      <c r="I427" t="s">
        <v>105</v>
      </c>
      <c r="J427" t="s">
        <v>45</v>
      </c>
      <c r="K427">
        <v>3</v>
      </c>
    </row>
    <row r="428" spans="1:12" outlineLevel="2">
      <c r="C428" t="s">
        <v>924</v>
      </c>
      <c r="K428">
        <f>SUBTOTAL(3,K426:K427)</f>
        <v>2</v>
      </c>
    </row>
    <row r="429" spans="1:12" outlineLevel="1">
      <c r="C429" t="s">
        <v>749</v>
      </c>
      <c r="K429">
        <f>SUBTOTAL(9,K426:K427)</f>
        <v>4</v>
      </c>
    </row>
    <row r="430" spans="1:12" outlineLevel="3">
      <c r="A430" t="s">
        <v>37</v>
      </c>
      <c r="B430" t="s">
        <v>582</v>
      </c>
      <c r="C430" t="str">
        <f>CONCATENATE(E430,G430,I430,H430,J430)</f>
        <v>DV550FHB-NV1-4WK2FMJ97D</v>
      </c>
      <c r="D430" t="s">
        <v>583</v>
      </c>
      <c r="E430" t="s">
        <v>315</v>
      </c>
      <c r="F430" t="s">
        <v>55</v>
      </c>
      <c r="G430" t="s">
        <v>56</v>
      </c>
      <c r="H430" t="s">
        <v>175</v>
      </c>
      <c r="I430" t="s">
        <v>176</v>
      </c>
      <c r="J430" t="s">
        <v>45</v>
      </c>
      <c r="K430">
        <v>4</v>
      </c>
    </row>
    <row r="431" spans="1:12" outlineLevel="2">
      <c r="C431" t="s">
        <v>925</v>
      </c>
      <c r="K431">
        <f>SUBTOTAL(3,K430:K430)</f>
        <v>1</v>
      </c>
    </row>
    <row r="432" spans="1:12" outlineLevel="1">
      <c r="C432" t="s">
        <v>750</v>
      </c>
      <c r="K432">
        <f>SUBTOTAL(9,K430:K430)</f>
        <v>4</v>
      </c>
    </row>
    <row r="433" spans="1:11" outlineLevel="3">
      <c r="A433" t="s">
        <v>37</v>
      </c>
      <c r="B433" t="s">
        <v>313</v>
      </c>
      <c r="C433" t="str">
        <f>CONCATENATE(E433,G433,I433,H433,J433)</f>
        <v>DV550FHB-NV1-4WK2ARM08D</v>
      </c>
      <c r="D433" t="s">
        <v>314</v>
      </c>
      <c r="E433" t="s">
        <v>315</v>
      </c>
      <c r="F433" t="s">
        <v>55</v>
      </c>
      <c r="G433" t="s">
        <v>42</v>
      </c>
      <c r="H433" t="s">
        <v>65</v>
      </c>
      <c r="I433" t="s">
        <v>192</v>
      </c>
      <c r="J433" t="s">
        <v>45</v>
      </c>
      <c r="K433">
        <v>7</v>
      </c>
    </row>
    <row r="434" spans="1:11" outlineLevel="2">
      <c r="C434" t="s">
        <v>926</v>
      </c>
      <c r="K434">
        <f>SUBTOTAL(3,K433:K433)</f>
        <v>1</v>
      </c>
    </row>
    <row r="435" spans="1:11" outlineLevel="1">
      <c r="C435" t="s">
        <v>751</v>
      </c>
      <c r="K435">
        <f>SUBTOTAL(9,K433:K433)</f>
        <v>7</v>
      </c>
    </row>
    <row r="436" spans="1:11" outlineLevel="3">
      <c r="A436" t="s">
        <v>37</v>
      </c>
      <c r="B436" t="s">
        <v>349</v>
      </c>
      <c r="C436" t="str">
        <f>CONCATENATE(E436,G436,I436,H436,J436)</f>
        <v>DV550FHB-NV1-4WK0Q0M01D</v>
      </c>
      <c r="D436" t="s">
        <v>350</v>
      </c>
      <c r="E436" t="s">
        <v>328</v>
      </c>
      <c r="F436" t="s">
        <v>55</v>
      </c>
      <c r="G436" t="s">
        <v>69</v>
      </c>
      <c r="H436" t="s">
        <v>61</v>
      </c>
      <c r="I436" t="s">
        <v>58</v>
      </c>
      <c r="J436" t="s">
        <v>45</v>
      </c>
      <c r="K436">
        <v>11</v>
      </c>
    </row>
    <row r="437" spans="1:11" outlineLevel="2">
      <c r="C437" t="s">
        <v>927</v>
      </c>
      <c r="K437">
        <f>SUBTOTAL(3,K436:K436)</f>
        <v>1</v>
      </c>
    </row>
    <row r="438" spans="1:11" outlineLevel="1">
      <c r="C438" t="s">
        <v>752</v>
      </c>
      <c r="K438">
        <f>SUBTOTAL(9,K436:K436)</f>
        <v>11</v>
      </c>
    </row>
    <row r="439" spans="1:11" outlineLevel="3">
      <c r="A439" t="s">
        <v>37</v>
      </c>
      <c r="B439" t="s">
        <v>347</v>
      </c>
      <c r="C439" t="str">
        <f>CONCATENATE(E439,G439,I439,H439,J439)</f>
        <v>DV550FHB-NV1-4WK0FLJ97D</v>
      </c>
      <c r="D439" t="s">
        <v>348</v>
      </c>
      <c r="E439" t="s">
        <v>328</v>
      </c>
      <c r="F439" t="s">
        <v>55</v>
      </c>
      <c r="G439" t="s">
        <v>56</v>
      </c>
      <c r="H439" t="s">
        <v>175</v>
      </c>
      <c r="I439" t="s">
        <v>105</v>
      </c>
      <c r="J439" t="s">
        <v>45</v>
      </c>
      <c r="K439">
        <v>4</v>
      </c>
    </row>
    <row r="440" spans="1:11" outlineLevel="2">
      <c r="C440" t="s">
        <v>928</v>
      </c>
      <c r="K440">
        <f>SUBTOTAL(3,K439:K439)</f>
        <v>1</v>
      </c>
    </row>
    <row r="441" spans="1:11" outlineLevel="1">
      <c r="C441" t="s">
        <v>753</v>
      </c>
      <c r="K441">
        <f>SUBTOTAL(9,K439:K439)</f>
        <v>4</v>
      </c>
    </row>
    <row r="442" spans="1:11" outlineLevel="3">
      <c r="A442" t="s">
        <v>37</v>
      </c>
      <c r="B442" t="s">
        <v>355</v>
      </c>
      <c r="C442" t="str">
        <f>CONCATENATE(E442,G442,I442,H442,J442)</f>
        <v>DV550FHB-NV1-4WK0FLJ96D</v>
      </c>
      <c r="D442" t="s">
        <v>356</v>
      </c>
      <c r="E442" t="s">
        <v>328</v>
      </c>
      <c r="F442" t="s">
        <v>55</v>
      </c>
      <c r="G442" t="s">
        <v>56</v>
      </c>
      <c r="H442" t="s">
        <v>57</v>
      </c>
      <c r="I442" t="s">
        <v>105</v>
      </c>
      <c r="J442" t="s">
        <v>45</v>
      </c>
      <c r="K442">
        <v>10</v>
      </c>
    </row>
    <row r="443" spans="1:11" outlineLevel="2">
      <c r="C443" t="s">
        <v>929</v>
      </c>
      <c r="K443">
        <f>SUBTOTAL(3,K442:K442)</f>
        <v>1</v>
      </c>
    </row>
    <row r="444" spans="1:11" outlineLevel="1">
      <c r="C444" t="s">
        <v>754</v>
      </c>
      <c r="K444">
        <f>SUBTOTAL(9,K442:K442)</f>
        <v>10</v>
      </c>
    </row>
    <row r="445" spans="1:11" outlineLevel="3">
      <c r="A445" t="s">
        <v>37</v>
      </c>
      <c r="B445" t="s">
        <v>486</v>
      </c>
      <c r="C445" t="str">
        <f>CONCATENATE(E445,G445,I445,H445,J445)</f>
        <v>DV550FHB-NV1-4WK0F0J97D</v>
      </c>
      <c r="D445" t="s">
        <v>487</v>
      </c>
      <c r="E445" t="s">
        <v>328</v>
      </c>
      <c r="F445" t="s">
        <v>55</v>
      </c>
      <c r="G445" t="s">
        <v>56</v>
      </c>
      <c r="H445" t="s">
        <v>175</v>
      </c>
      <c r="I445" t="s">
        <v>58</v>
      </c>
      <c r="J445" t="s">
        <v>45</v>
      </c>
      <c r="K445">
        <v>8</v>
      </c>
    </row>
    <row r="446" spans="1:11" outlineLevel="2">
      <c r="C446" t="s">
        <v>930</v>
      </c>
      <c r="K446">
        <f>SUBTOTAL(3,K445:K445)</f>
        <v>1</v>
      </c>
    </row>
    <row r="447" spans="1:11" outlineLevel="1">
      <c r="C447" t="s">
        <v>755</v>
      </c>
      <c r="K447">
        <f>SUBTOTAL(9,K445:K445)</f>
        <v>8</v>
      </c>
    </row>
    <row r="448" spans="1:11" outlineLevel="3">
      <c r="A448" t="s">
        <v>37</v>
      </c>
      <c r="B448" t="s">
        <v>353</v>
      </c>
      <c r="C448" t="str">
        <f>CONCATENATE(E448,G448,I448,H448,J448)</f>
        <v>DV550FHB-NV1-4WK0F0J96D</v>
      </c>
      <c r="D448" t="s">
        <v>354</v>
      </c>
      <c r="E448" t="s">
        <v>328</v>
      </c>
      <c r="F448" t="s">
        <v>55</v>
      </c>
      <c r="G448" t="s">
        <v>56</v>
      </c>
      <c r="H448" t="s">
        <v>57</v>
      </c>
      <c r="I448" t="s">
        <v>58</v>
      </c>
      <c r="J448" t="s">
        <v>45</v>
      </c>
      <c r="K448">
        <v>5</v>
      </c>
    </row>
    <row r="449" spans="1:12" outlineLevel="2">
      <c r="C449" t="s">
        <v>931</v>
      </c>
      <c r="K449">
        <f>SUBTOTAL(3,K448:K448)</f>
        <v>1</v>
      </c>
    </row>
    <row r="450" spans="1:12" outlineLevel="1">
      <c r="C450" t="s">
        <v>756</v>
      </c>
      <c r="K450">
        <f>SUBTOTAL(9,K448:K448)</f>
        <v>5</v>
      </c>
    </row>
    <row r="451" spans="1:12" outlineLevel="3">
      <c r="A451" t="s">
        <v>37</v>
      </c>
      <c r="B451" t="s">
        <v>506</v>
      </c>
      <c r="C451" t="str">
        <f>CONCATENATE(E451,G451,I451,H451,J451)</f>
        <v>DV550FHB-NV1-4WK0AXM08D</v>
      </c>
      <c r="D451" t="s">
        <v>507</v>
      </c>
      <c r="E451" t="s">
        <v>328</v>
      </c>
      <c r="F451" t="s">
        <v>55</v>
      </c>
      <c r="G451" t="s">
        <v>42</v>
      </c>
      <c r="H451" t="s">
        <v>65</v>
      </c>
      <c r="I451" t="s">
        <v>262</v>
      </c>
      <c r="J451" t="s">
        <v>45</v>
      </c>
      <c r="K451">
        <v>10</v>
      </c>
    </row>
    <row r="452" spans="1:12" outlineLevel="2">
      <c r="C452" t="s">
        <v>932</v>
      </c>
      <c r="K452">
        <f>SUBTOTAL(3,K451:K451)</f>
        <v>1</v>
      </c>
    </row>
    <row r="453" spans="1:12" outlineLevel="1">
      <c r="C453" t="s">
        <v>757</v>
      </c>
      <c r="K453">
        <f>SUBTOTAL(9,K451:K451)</f>
        <v>10</v>
      </c>
    </row>
    <row r="454" spans="1:12" outlineLevel="3">
      <c r="A454" t="s">
        <v>37</v>
      </c>
      <c r="B454" t="s">
        <v>343</v>
      </c>
      <c r="C454" t="str">
        <f>CONCATENATE(E454,G454,I454,H454,J454)</f>
        <v>DV550FHB-NV1-4WK0ASM08D</v>
      </c>
      <c r="D454" t="s">
        <v>344</v>
      </c>
      <c r="E454" t="s">
        <v>328</v>
      </c>
      <c r="F454" t="s">
        <v>55</v>
      </c>
      <c r="G454" t="s">
        <v>42</v>
      </c>
      <c r="H454" t="s">
        <v>65</v>
      </c>
      <c r="I454" t="s">
        <v>44</v>
      </c>
      <c r="J454" t="s">
        <v>45</v>
      </c>
      <c r="K454">
        <v>10</v>
      </c>
    </row>
    <row r="455" spans="1:12" outlineLevel="2">
      <c r="C455" t="s">
        <v>933</v>
      </c>
      <c r="K455">
        <f>SUBTOTAL(3,K454:K454)</f>
        <v>1</v>
      </c>
    </row>
    <row r="456" spans="1:12" outlineLevel="1">
      <c r="C456" t="s">
        <v>758</v>
      </c>
      <c r="K456">
        <f>SUBTOTAL(9,K454:K454)</f>
        <v>10</v>
      </c>
    </row>
    <row r="457" spans="1:12" outlineLevel="3">
      <c r="A457" t="s">
        <v>37</v>
      </c>
      <c r="B457" t="s">
        <v>584</v>
      </c>
      <c r="C457" t="str">
        <f>CONCATENATE(E457,G457,I457,H457,J457)</f>
        <v>DV550FHB-NV1-4WK0ALM08D</v>
      </c>
      <c r="D457" t="s">
        <v>585</v>
      </c>
      <c r="E457" t="s">
        <v>328</v>
      </c>
      <c r="F457" t="s">
        <v>55</v>
      </c>
      <c r="G457" t="s">
        <v>42</v>
      </c>
      <c r="H457" t="s">
        <v>65</v>
      </c>
      <c r="I457" t="s">
        <v>105</v>
      </c>
      <c r="J457" t="s">
        <v>45</v>
      </c>
      <c r="K457">
        <v>8</v>
      </c>
    </row>
    <row r="458" spans="1:12" outlineLevel="2">
      <c r="C458" t="s">
        <v>934</v>
      </c>
      <c r="K458">
        <f>SUBTOTAL(3,K457:K457)</f>
        <v>1</v>
      </c>
    </row>
    <row r="459" spans="1:12" outlineLevel="1">
      <c r="C459" t="s">
        <v>759</v>
      </c>
      <c r="K459">
        <f>SUBTOTAL(9,K457:K457)</f>
        <v>8</v>
      </c>
    </row>
    <row r="460" spans="1:12" outlineLevel="3">
      <c r="A460" t="s">
        <v>37</v>
      </c>
      <c r="B460" t="s">
        <v>326</v>
      </c>
      <c r="C460" t="str">
        <f>CONCATENATE(E460,G460,I460,H460,J460)</f>
        <v>DV550FHB-NV1-4WK0A0M08D</v>
      </c>
      <c r="D460" t="s">
        <v>327</v>
      </c>
      <c r="E460" t="s">
        <v>328</v>
      </c>
      <c r="F460" t="s">
        <v>55</v>
      </c>
      <c r="G460" t="s">
        <v>42</v>
      </c>
      <c r="H460" t="s">
        <v>65</v>
      </c>
      <c r="I460" t="s">
        <v>58</v>
      </c>
      <c r="J460" t="s">
        <v>45</v>
      </c>
      <c r="K460">
        <v>10</v>
      </c>
    </row>
    <row r="461" spans="1:12" outlineLevel="2">
      <c r="C461" t="s">
        <v>935</v>
      </c>
      <c r="K461">
        <f>SUBTOTAL(3,K460:K460)</f>
        <v>1</v>
      </c>
    </row>
    <row r="462" spans="1:12" outlineLevel="1">
      <c r="C462" t="s">
        <v>760</v>
      </c>
      <c r="K462">
        <f>SUBTOTAL(9,K460:K460)</f>
        <v>10</v>
      </c>
    </row>
    <row r="463" spans="1:12" outlineLevel="3">
      <c r="A463" t="s">
        <v>37</v>
      </c>
      <c r="B463" t="s">
        <v>128</v>
      </c>
      <c r="C463" t="str">
        <f>CONCATENATE(E463,G463,I463,H463,J463)</f>
        <v>DV550FHB-NV1-49K2FLJ96D</v>
      </c>
      <c r="D463" t="s">
        <v>129</v>
      </c>
      <c r="E463" t="s">
        <v>130</v>
      </c>
      <c r="F463" t="s">
        <v>55</v>
      </c>
      <c r="G463" t="s">
        <v>56</v>
      </c>
      <c r="H463" t="s">
        <v>57</v>
      </c>
      <c r="I463" t="s">
        <v>105</v>
      </c>
      <c r="J463" t="s">
        <v>45</v>
      </c>
      <c r="K463">
        <v>2</v>
      </c>
      <c r="L463" t="s">
        <v>46</v>
      </c>
    </row>
    <row r="464" spans="1:12" outlineLevel="2">
      <c r="C464" t="s">
        <v>936</v>
      </c>
      <c r="K464">
        <f>SUBTOTAL(3,K463:K463)</f>
        <v>1</v>
      </c>
    </row>
    <row r="465" spans="1:11" outlineLevel="1">
      <c r="C465" t="s">
        <v>761</v>
      </c>
      <c r="K465">
        <f>SUBTOTAL(9,K463:K463)</f>
        <v>2</v>
      </c>
    </row>
    <row r="466" spans="1:11" outlineLevel="3">
      <c r="A466" t="s">
        <v>37</v>
      </c>
      <c r="B466" t="s">
        <v>567</v>
      </c>
      <c r="C466" t="str">
        <f>CONCATENATE(E466,G466,I466,H466,J466)</f>
        <v>DV550FHB-NV1-4932FMJ97D</v>
      </c>
      <c r="D466" t="s">
        <v>568</v>
      </c>
      <c r="E466" t="s">
        <v>569</v>
      </c>
      <c r="F466" t="s">
        <v>55</v>
      </c>
      <c r="G466" t="s">
        <v>56</v>
      </c>
      <c r="H466" t="s">
        <v>175</v>
      </c>
      <c r="I466" t="s">
        <v>176</v>
      </c>
      <c r="J466" t="s">
        <v>45</v>
      </c>
      <c r="K466">
        <v>5</v>
      </c>
    </row>
    <row r="467" spans="1:11" outlineLevel="2">
      <c r="C467" t="s">
        <v>937</v>
      </c>
      <c r="K467">
        <f>SUBTOTAL(3,K466:K466)</f>
        <v>1</v>
      </c>
    </row>
    <row r="468" spans="1:11" outlineLevel="1">
      <c r="C468" t="s">
        <v>762</v>
      </c>
      <c r="K468">
        <f>SUBTOTAL(9,K466:K466)</f>
        <v>5</v>
      </c>
    </row>
    <row r="469" spans="1:11" outlineLevel="3">
      <c r="A469" t="s">
        <v>37</v>
      </c>
      <c r="B469" t="s">
        <v>484</v>
      </c>
      <c r="C469" t="str">
        <f>CONCATENATE(E469,G469,I469,H469,J469)</f>
        <v>DV490FHB-NV0-4WK1FMJ97D</v>
      </c>
      <c r="D469" t="s">
        <v>485</v>
      </c>
      <c r="E469" t="s">
        <v>479</v>
      </c>
      <c r="F469" t="s">
        <v>55</v>
      </c>
      <c r="G469" t="s">
        <v>56</v>
      </c>
      <c r="H469" t="s">
        <v>175</v>
      </c>
      <c r="I469" t="s">
        <v>176</v>
      </c>
      <c r="J469" t="s">
        <v>45</v>
      </c>
      <c r="K469">
        <v>3</v>
      </c>
    </row>
    <row r="470" spans="1:11" outlineLevel="2">
      <c r="C470" t="s">
        <v>938</v>
      </c>
      <c r="K470">
        <f>SUBTOTAL(3,K469:K469)</f>
        <v>1</v>
      </c>
    </row>
    <row r="471" spans="1:11" outlineLevel="1">
      <c r="C471" t="s">
        <v>763</v>
      </c>
      <c r="K471">
        <f>SUBTOTAL(9,K469:K469)</f>
        <v>3</v>
      </c>
    </row>
    <row r="472" spans="1:11" outlineLevel="3">
      <c r="A472" t="s">
        <v>37</v>
      </c>
      <c r="B472" t="s">
        <v>482</v>
      </c>
      <c r="C472" t="str">
        <f>CONCATENATE(E472,G472,I472,H472,J472)</f>
        <v>DV490FHB-NV0-4WK1FLJ96D</v>
      </c>
      <c r="D472" t="s">
        <v>483</v>
      </c>
      <c r="E472" t="s">
        <v>479</v>
      </c>
      <c r="F472" t="s">
        <v>55</v>
      </c>
      <c r="G472" t="s">
        <v>56</v>
      </c>
      <c r="H472" t="s">
        <v>57</v>
      </c>
      <c r="I472" t="s">
        <v>105</v>
      </c>
      <c r="J472" t="s">
        <v>45</v>
      </c>
      <c r="K472">
        <v>10</v>
      </c>
    </row>
    <row r="473" spans="1:11" outlineLevel="2">
      <c r="C473" t="s">
        <v>939</v>
      </c>
      <c r="K473">
        <f>SUBTOTAL(3,K472:K472)</f>
        <v>1</v>
      </c>
    </row>
    <row r="474" spans="1:11" outlineLevel="1">
      <c r="C474" t="s">
        <v>764</v>
      </c>
      <c r="K474">
        <f>SUBTOTAL(9,K472:K472)</f>
        <v>10</v>
      </c>
    </row>
    <row r="475" spans="1:11" outlineLevel="3">
      <c r="A475" t="s">
        <v>37</v>
      </c>
      <c r="B475" t="s">
        <v>592</v>
      </c>
      <c r="C475" t="str">
        <f>CONCATENATE(E475,G475,I475,H475,J475)</f>
        <v>DV490FHB-NV0-4WK1F0J96D</v>
      </c>
      <c r="D475" t="s">
        <v>593</v>
      </c>
      <c r="E475" t="s">
        <v>479</v>
      </c>
      <c r="F475" t="s">
        <v>55</v>
      </c>
      <c r="G475" t="s">
        <v>56</v>
      </c>
      <c r="H475" t="s">
        <v>57</v>
      </c>
      <c r="I475" t="s">
        <v>58</v>
      </c>
      <c r="J475" t="s">
        <v>45</v>
      </c>
      <c r="K475">
        <v>5</v>
      </c>
    </row>
    <row r="476" spans="1:11" outlineLevel="2">
      <c r="C476" t="s">
        <v>940</v>
      </c>
      <c r="K476">
        <f>SUBTOTAL(3,K475:K475)</f>
        <v>1</v>
      </c>
    </row>
    <row r="477" spans="1:11" outlineLevel="1">
      <c r="C477" t="s">
        <v>765</v>
      </c>
      <c r="K477">
        <f>SUBTOTAL(9,K475:K475)</f>
        <v>5</v>
      </c>
    </row>
    <row r="478" spans="1:11" outlineLevel="3">
      <c r="A478" t="s">
        <v>37</v>
      </c>
      <c r="B478" t="s">
        <v>480</v>
      </c>
      <c r="C478" t="str">
        <f>CONCATENATE(E478,G478,I478,H478,J478)</f>
        <v>DV490FHB-NV0-4WK1AXM08D</v>
      </c>
      <c r="D478" t="s">
        <v>481</v>
      </c>
      <c r="E478" t="s">
        <v>479</v>
      </c>
      <c r="F478" t="s">
        <v>55</v>
      </c>
      <c r="G478" t="s">
        <v>42</v>
      </c>
      <c r="H478" t="s">
        <v>65</v>
      </c>
      <c r="I478" t="s">
        <v>262</v>
      </c>
      <c r="J478" t="s">
        <v>45</v>
      </c>
      <c r="K478">
        <v>11</v>
      </c>
    </row>
    <row r="479" spans="1:11" outlineLevel="2">
      <c r="C479" t="s">
        <v>941</v>
      </c>
      <c r="K479">
        <f>SUBTOTAL(3,K478:K478)</f>
        <v>1</v>
      </c>
    </row>
    <row r="480" spans="1:11" outlineLevel="1">
      <c r="C480" t="s">
        <v>766</v>
      </c>
      <c r="K480">
        <f>SUBTOTAL(9,K478:K478)</f>
        <v>11</v>
      </c>
    </row>
    <row r="481" spans="1:11" outlineLevel="3">
      <c r="A481" t="s">
        <v>37</v>
      </c>
      <c r="B481" t="s">
        <v>501</v>
      </c>
      <c r="C481" t="str">
        <f>CONCATENATE(E481,G481,I481,H481,J481)</f>
        <v>DV490FHB-NV0-4WK1ARM08D</v>
      </c>
      <c r="D481" t="s">
        <v>502</v>
      </c>
      <c r="E481" t="s">
        <v>479</v>
      </c>
      <c r="F481" t="s">
        <v>55</v>
      </c>
      <c r="G481" t="s">
        <v>42</v>
      </c>
      <c r="H481" t="s">
        <v>65</v>
      </c>
      <c r="I481" t="s">
        <v>192</v>
      </c>
      <c r="J481" t="s">
        <v>45</v>
      </c>
      <c r="K481">
        <v>10</v>
      </c>
    </row>
    <row r="482" spans="1:11" outlineLevel="2">
      <c r="C482" t="s">
        <v>942</v>
      </c>
      <c r="K482">
        <f>SUBTOTAL(3,K481:K481)</f>
        <v>1</v>
      </c>
    </row>
    <row r="483" spans="1:11" outlineLevel="1">
      <c r="C483" t="s">
        <v>767</v>
      </c>
      <c r="K483">
        <f>SUBTOTAL(9,K481:K481)</f>
        <v>10</v>
      </c>
    </row>
    <row r="484" spans="1:11" outlineLevel="3">
      <c r="A484" t="s">
        <v>37</v>
      </c>
      <c r="B484" t="s">
        <v>477</v>
      </c>
      <c r="C484" t="str">
        <f>CONCATENATE(E484,G484,I484,H484,J484)</f>
        <v>DV490FHB-NV0-4WK1ANM08D</v>
      </c>
      <c r="D484" t="s">
        <v>478</v>
      </c>
      <c r="E484" t="s">
        <v>479</v>
      </c>
      <c r="F484" t="s">
        <v>55</v>
      </c>
      <c r="G484" t="s">
        <v>42</v>
      </c>
      <c r="H484" t="s">
        <v>65</v>
      </c>
      <c r="I484" t="s">
        <v>51</v>
      </c>
      <c r="J484" t="s">
        <v>45</v>
      </c>
      <c r="K484">
        <v>9</v>
      </c>
    </row>
    <row r="485" spans="1:11" outlineLevel="2">
      <c r="C485" t="s">
        <v>943</v>
      </c>
      <c r="K485">
        <f>SUBTOTAL(3,K484:K484)</f>
        <v>1</v>
      </c>
    </row>
    <row r="486" spans="1:11" outlineLevel="1">
      <c r="C486" t="s">
        <v>768</v>
      </c>
      <c r="K486">
        <f>SUBTOTAL(9,K484:K484)</f>
        <v>9</v>
      </c>
    </row>
    <row r="487" spans="1:11" outlineLevel="3">
      <c r="A487" t="s">
        <v>37</v>
      </c>
      <c r="B487" t="s">
        <v>316</v>
      </c>
      <c r="C487" t="str">
        <f>CONCATENATE(E487,G487,I487,H487,J487)</f>
        <v>DV490FHB-NV0-4WK0QRP16D</v>
      </c>
      <c r="D487" t="s">
        <v>317</v>
      </c>
      <c r="E487" t="s">
        <v>318</v>
      </c>
      <c r="F487" t="s">
        <v>55</v>
      </c>
      <c r="G487" t="s">
        <v>69</v>
      </c>
      <c r="H487" t="s">
        <v>319</v>
      </c>
      <c r="I487" t="s">
        <v>192</v>
      </c>
      <c r="J487" t="s">
        <v>45</v>
      </c>
      <c r="K487">
        <v>8</v>
      </c>
    </row>
    <row r="488" spans="1:11" outlineLevel="2">
      <c r="C488" t="s">
        <v>944</v>
      </c>
      <c r="K488">
        <f>SUBTOTAL(3,K487:K487)</f>
        <v>1</v>
      </c>
    </row>
    <row r="489" spans="1:11" outlineLevel="1">
      <c r="C489" t="s">
        <v>769</v>
      </c>
      <c r="K489">
        <f>SUBTOTAL(9,K487:K487)</f>
        <v>8</v>
      </c>
    </row>
    <row r="490" spans="1:11" outlineLevel="3">
      <c r="A490" t="s">
        <v>37</v>
      </c>
      <c r="B490" t="s">
        <v>475</v>
      </c>
      <c r="C490" t="str">
        <f>CONCATENATE(E490,G490,I490,H490,J490)</f>
        <v>DV490FHB-NV0-4WK0FMJ97D</v>
      </c>
      <c r="D490" t="s">
        <v>476</v>
      </c>
      <c r="E490" t="s">
        <v>318</v>
      </c>
      <c r="F490" t="s">
        <v>55</v>
      </c>
      <c r="G490" t="s">
        <v>56</v>
      </c>
      <c r="H490" t="s">
        <v>175</v>
      </c>
      <c r="I490" t="s">
        <v>176</v>
      </c>
      <c r="J490" t="s">
        <v>45</v>
      </c>
      <c r="K490">
        <v>7</v>
      </c>
    </row>
    <row r="491" spans="1:11" outlineLevel="2">
      <c r="C491" t="s">
        <v>945</v>
      </c>
      <c r="K491">
        <f>SUBTOTAL(3,K490:K490)</f>
        <v>1</v>
      </c>
    </row>
    <row r="492" spans="1:11" outlineLevel="1">
      <c r="C492" t="s">
        <v>770</v>
      </c>
      <c r="K492">
        <f>SUBTOTAL(9,K490:K490)</f>
        <v>7</v>
      </c>
    </row>
    <row r="493" spans="1:11" outlineLevel="3">
      <c r="A493" t="s">
        <v>37</v>
      </c>
      <c r="B493" t="s">
        <v>586</v>
      </c>
      <c r="C493" t="str">
        <f>CONCATENATE(E493,G493,I493,H493,J493)</f>
        <v>DV490FHB-NV0-4WK0FLJ96D</v>
      </c>
      <c r="D493" t="s">
        <v>587</v>
      </c>
      <c r="E493" t="s">
        <v>318</v>
      </c>
      <c r="F493" t="s">
        <v>55</v>
      </c>
      <c r="G493" t="s">
        <v>56</v>
      </c>
      <c r="H493" t="s">
        <v>57</v>
      </c>
      <c r="I493" t="s">
        <v>105</v>
      </c>
      <c r="J493" t="s">
        <v>45</v>
      </c>
      <c r="K493">
        <v>1</v>
      </c>
    </row>
    <row r="494" spans="1:11" outlineLevel="2">
      <c r="C494" t="s">
        <v>946</v>
      </c>
      <c r="K494">
        <f>SUBTOTAL(3,K493:K493)</f>
        <v>1</v>
      </c>
    </row>
    <row r="495" spans="1:11" outlineLevel="1">
      <c r="C495" t="s">
        <v>771</v>
      </c>
      <c r="K495">
        <f>SUBTOTAL(9,K493:K493)</f>
        <v>1</v>
      </c>
    </row>
    <row r="496" spans="1:11" outlineLevel="3">
      <c r="A496" t="s">
        <v>37</v>
      </c>
      <c r="B496" t="s">
        <v>580</v>
      </c>
      <c r="C496" t="str">
        <f>CONCATENATE(E496,G496,I496,H496,J496)</f>
        <v>DV490FHB-NV0-4WK0ARM08D</v>
      </c>
      <c r="D496" t="s">
        <v>581</v>
      </c>
      <c r="E496" t="s">
        <v>318</v>
      </c>
      <c r="F496" t="s">
        <v>55</v>
      </c>
      <c r="G496" t="s">
        <v>42</v>
      </c>
      <c r="H496" t="s">
        <v>65</v>
      </c>
      <c r="I496" t="s">
        <v>192</v>
      </c>
      <c r="J496" t="s">
        <v>45</v>
      </c>
      <c r="K496">
        <v>14</v>
      </c>
    </row>
    <row r="497" spans="1:12" outlineLevel="2">
      <c r="C497" t="s">
        <v>947</v>
      </c>
      <c r="K497">
        <f>SUBTOTAL(3,K496:K496)</f>
        <v>1</v>
      </c>
    </row>
    <row r="498" spans="1:12" outlineLevel="1">
      <c r="C498" t="s">
        <v>772</v>
      </c>
      <c r="K498">
        <f>SUBTOTAL(9,K496:K496)</f>
        <v>14</v>
      </c>
    </row>
    <row r="499" spans="1:12" outlineLevel="3">
      <c r="A499" t="s">
        <v>37</v>
      </c>
      <c r="B499" t="s">
        <v>228</v>
      </c>
      <c r="C499" t="str">
        <f>CONCATENATE(E499,G499,I499,H499,J499)</f>
        <v>DV460FHM-NV2-4WK4QRP03D</v>
      </c>
      <c r="D499" t="s">
        <v>229</v>
      </c>
      <c r="E499" t="s">
        <v>230</v>
      </c>
      <c r="F499" t="s">
        <v>41</v>
      </c>
      <c r="G499" t="s">
        <v>69</v>
      </c>
      <c r="H499" t="s">
        <v>227</v>
      </c>
      <c r="I499" t="s">
        <v>192</v>
      </c>
      <c r="J499" t="s">
        <v>45</v>
      </c>
      <c r="K499">
        <v>5</v>
      </c>
      <c r="L499" t="s">
        <v>46</v>
      </c>
    </row>
    <row r="500" spans="1:12" outlineLevel="2">
      <c r="C500" t="s">
        <v>948</v>
      </c>
      <c r="K500">
        <f>SUBTOTAL(3,K499:K499)</f>
        <v>1</v>
      </c>
    </row>
    <row r="501" spans="1:12" outlineLevel="1">
      <c r="C501" t="s">
        <v>773</v>
      </c>
      <c r="K501">
        <f>SUBTOTAL(9,K499:K499)</f>
        <v>5</v>
      </c>
    </row>
    <row r="502" spans="1:12" outlineLevel="3">
      <c r="A502" t="s">
        <v>37</v>
      </c>
      <c r="B502" t="s">
        <v>224</v>
      </c>
      <c r="C502" t="str">
        <f>CONCATENATE(E502,G502,I502,H502,J502)</f>
        <v>DV460FHM-NV2-4WK0QRP03D</v>
      </c>
      <c r="D502" t="s">
        <v>225</v>
      </c>
      <c r="E502" t="s">
        <v>226</v>
      </c>
      <c r="F502" t="s">
        <v>41</v>
      </c>
      <c r="G502" t="s">
        <v>69</v>
      </c>
      <c r="H502" t="s">
        <v>227</v>
      </c>
      <c r="I502" t="s">
        <v>192</v>
      </c>
      <c r="J502" t="s">
        <v>45</v>
      </c>
      <c r="K502">
        <v>1</v>
      </c>
      <c r="L502" t="s">
        <v>46</v>
      </c>
    </row>
    <row r="503" spans="1:12" outlineLevel="2">
      <c r="C503" t="s">
        <v>949</v>
      </c>
      <c r="K503">
        <f>SUBTOTAL(3,K502:K502)</f>
        <v>1</v>
      </c>
    </row>
    <row r="504" spans="1:12" outlineLevel="1">
      <c r="C504" t="s">
        <v>774</v>
      </c>
      <c r="K504">
        <f>SUBTOTAL(9,K502:K502)</f>
        <v>1</v>
      </c>
    </row>
    <row r="505" spans="1:12" outlineLevel="3">
      <c r="A505" t="s">
        <v>37</v>
      </c>
      <c r="B505" t="s">
        <v>491</v>
      </c>
      <c r="C505" t="str">
        <f>CONCATENATE(E505,G505,I505,H505,J505)</f>
        <v>DV460FHB-NV3-4WK0Q0MC1D</v>
      </c>
      <c r="D505" t="s">
        <v>492</v>
      </c>
      <c r="E505" t="s">
        <v>154</v>
      </c>
      <c r="F505" t="s">
        <v>55</v>
      </c>
      <c r="G505" t="s">
        <v>69</v>
      </c>
      <c r="H505" t="s">
        <v>43</v>
      </c>
      <c r="I505" t="s">
        <v>58</v>
      </c>
      <c r="J505" t="s">
        <v>45</v>
      </c>
      <c r="K505">
        <v>1</v>
      </c>
    </row>
    <row r="506" spans="1:12" outlineLevel="2">
      <c r="C506" t="s">
        <v>950</v>
      </c>
      <c r="K506">
        <f>SUBTOTAL(3,K505:K505)</f>
        <v>1</v>
      </c>
    </row>
    <row r="507" spans="1:12" outlineLevel="1">
      <c r="C507" t="s">
        <v>775</v>
      </c>
      <c r="K507">
        <f>SUBTOTAL(9,K505:K505)</f>
        <v>1</v>
      </c>
    </row>
    <row r="508" spans="1:12" outlineLevel="3">
      <c r="A508" t="s">
        <v>37</v>
      </c>
      <c r="B508" t="s">
        <v>588</v>
      </c>
      <c r="C508" t="str">
        <f>CONCATENATE(E508,G508,I508,H508,J508)</f>
        <v>DV460FHB-NV3-4WK0Q0M01D</v>
      </c>
      <c r="D508" t="s">
        <v>589</v>
      </c>
      <c r="E508" t="s">
        <v>154</v>
      </c>
      <c r="F508" t="s">
        <v>55</v>
      </c>
      <c r="G508" t="s">
        <v>69</v>
      </c>
      <c r="H508" t="s">
        <v>61</v>
      </c>
      <c r="I508" t="s">
        <v>58</v>
      </c>
      <c r="J508" t="s">
        <v>45</v>
      </c>
      <c r="K508">
        <v>9</v>
      </c>
    </row>
    <row r="509" spans="1:12" outlineLevel="2">
      <c r="C509" t="s">
        <v>951</v>
      </c>
      <c r="K509">
        <f>SUBTOTAL(3,K508:K508)</f>
        <v>1</v>
      </c>
    </row>
    <row r="510" spans="1:12" outlineLevel="1">
      <c r="C510" t="s">
        <v>776</v>
      </c>
      <c r="K510">
        <f>SUBTOTAL(9,K508:K508)</f>
        <v>9</v>
      </c>
    </row>
    <row r="511" spans="1:12" outlineLevel="3">
      <c r="A511" t="s">
        <v>37</v>
      </c>
      <c r="B511" t="s">
        <v>152</v>
      </c>
      <c r="C511" t="str">
        <f>CONCATENATE(E511,G511,I511,H511,J511)</f>
        <v>DV460FHB-NV3-4WK0FLJ96D</v>
      </c>
      <c r="D511" t="s">
        <v>153</v>
      </c>
      <c r="E511" t="s">
        <v>154</v>
      </c>
      <c r="F511" t="s">
        <v>55</v>
      </c>
      <c r="G511" t="s">
        <v>56</v>
      </c>
      <c r="H511" t="s">
        <v>57</v>
      </c>
      <c r="I511" t="s">
        <v>105</v>
      </c>
      <c r="J511" t="s">
        <v>45</v>
      </c>
      <c r="K511">
        <v>8</v>
      </c>
      <c r="L511" t="s">
        <v>46</v>
      </c>
    </row>
    <row r="512" spans="1:12" outlineLevel="2">
      <c r="C512" t="s">
        <v>952</v>
      </c>
      <c r="K512">
        <f>SUBTOTAL(3,K511:K511)</f>
        <v>1</v>
      </c>
    </row>
    <row r="513" spans="1:12" outlineLevel="1">
      <c r="C513" t="s">
        <v>777</v>
      </c>
      <c r="K513">
        <f>SUBTOTAL(9,K511:K511)</f>
        <v>8</v>
      </c>
    </row>
    <row r="514" spans="1:12" outlineLevel="3">
      <c r="A514" t="s">
        <v>37</v>
      </c>
      <c r="B514" t="s">
        <v>590</v>
      </c>
      <c r="C514" t="str">
        <f>CONCATENATE(E514,G514,I514,H514,J514)</f>
        <v>DV460FHB-NV3-4WK0F0J96D</v>
      </c>
      <c r="D514" t="s">
        <v>591</v>
      </c>
      <c r="E514" t="s">
        <v>154</v>
      </c>
      <c r="F514" t="s">
        <v>55</v>
      </c>
      <c r="G514" t="s">
        <v>56</v>
      </c>
      <c r="H514" t="s">
        <v>57</v>
      </c>
      <c r="I514" t="s">
        <v>58</v>
      </c>
      <c r="J514" t="s">
        <v>45</v>
      </c>
      <c r="K514">
        <v>3</v>
      </c>
    </row>
    <row r="515" spans="1:12" outlineLevel="2">
      <c r="C515" t="s">
        <v>953</v>
      </c>
      <c r="K515">
        <f>SUBTOTAL(3,K514:K514)</f>
        <v>1</v>
      </c>
    </row>
    <row r="516" spans="1:12" outlineLevel="1">
      <c r="C516" t="s">
        <v>778</v>
      </c>
      <c r="K516">
        <f>SUBTOTAL(9,K514:K514)</f>
        <v>3</v>
      </c>
    </row>
    <row r="517" spans="1:12" outlineLevel="3">
      <c r="A517" t="s">
        <v>37</v>
      </c>
      <c r="B517" t="s">
        <v>204</v>
      </c>
      <c r="C517" t="str">
        <f>CONCATENATE(E517,G517,I517,H517,J517)</f>
        <v>DV460FHB-NV2-4WK2FMJ97D</v>
      </c>
      <c r="D517" t="s">
        <v>205</v>
      </c>
      <c r="E517" t="s">
        <v>206</v>
      </c>
      <c r="F517" t="s">
        <v>55</v>
      </c>
      <c r="G517" t="s">
        <v>56</v>
      </c>
      <c r="H517" t="s">
        <v>175</v>
      </c>
      <c r="I517" t="s">
        <v>176</v>
      </c>
      <c r="J517" t="s">
        <v>45</v>
      </c>
      <c r="K517">
        <v>4</v>
      </c>
      <c r="L517" t="s">
        <v>46</v>
      </c>
    </row>
    <row r="518" spans="1:12" outlineLevel="2">
      <c r="C518" t="s">
        <v>954</v>
      </c>
      <c r="K518">
        <f>SUBTOTAL(3,K517:K517)</f>
        <v>1</v>
      </c>
    </row>
    <row r="519" spans="1:12" outlineLevel="1">
      <c r="C519" t="s">
        <v>779</v>
      </c>
      <c r="K519">
        <f>SUBTOTAL(9,K517:K517)</f>
        <v>4</v>
      </c>
    </row>
    <row r="520" spans="1:12" outlineLevel="3">
      <c r="A520" t="s">
        <v>37</v>
      </c>
      <c r="B520" t="s">
        <v>503</v>
      </c>
      <c r="C520" t="str">
        <f>CONCATENATE(E520,G520,I520,H520,J520)</f>
        <v>DV460FHB-NV0-4WK3ASM01D</v>
      </c>
      <c r="D520" t="s">
        <v>504</v>
      </c>
      <c r="E520" t="s">
        <v>505</v>
      </c>
      <c r="F520" t="s">
        <v>55</v>
      </c>
      <c r="G520" t="s">
        <v>42</v>
      </c>
      <c r="H520" t="s">
        <v>61</v>
      </c>
      <c r="I520" t="s">
        <v>44</v>
      </c>
      <c r="J520" t="s">
        <v>45</v>
      </c>
      <c r="K520">
        <v>3</v>
      </c>
    </row>
    <row r="521" spans="1:12" outlineLevel="2">
      <c r="C521" t="s">
        <v>955</v>
      </c>
      <c r="K521">
        <f>SUBTOTAL(3,K520:K520)</f>
        <v>1</v>
      </c>
    </row>
    <row r="522" spans="1:12" outlineLevel="1">
      <c r="C522" t="s">
        <v>780</v>
      </c>
      <c r="K522">
        <f>SUBTOTAL(9,K520:K520)</f>
        <v>3</v>
      </c>
    </row>
    <row r="523" spans="1:12" outlineLevel="3">
      <c r="A523" t="s">
        <v>37</v>
      </c>
      <c r="B523" t="s">
        <v>488</v>
      </c>
      <c r="C523" t="str">
        <f>CONCATENATE(E523,G523,I523,H523,J523)</f>
        <v>DV460FHB-NV0-4WK0FMJ97D</v>
      </c>
      <c r="D523" t="s">
        <v>489</v>
      </c>
      <c r="E523" t="s">
        <v>490</v>
      </c>
      <c r="F523" t="s">
        <v>55</v>
      </c>
      <c r="G523" t="s">
        <v>56</v>
      </c>
      <c r="H523" t="s">
        <v>175</v>
      </c>
      <c r="I523" t="s">
        <v>176</v>
      </c>
      <c r="J523" t="s">
        <v>45</v>
      </c>
      <c r="K523">
        <v>5</v>
      </c>
    </row>
    <row r="524" spans="1:12" outlineLevel="2">
      <c r="C524" t="s">
        <v>956</v>
      </c>
      <c r="K524">
        <f>SUBTOTAL(3,K523:K523)</f>
        <v>1</v>
      </c>
    </row>
    <row r="525" spans="1:12" outlineLevel="1">
      <c r="C525" t="s">
        <v>781</v>
      </c>
      <c r="K525">
        <f>SUBTOTAL(9,K523:K523)</f>
        <v>5</v>
      </c>
    </row>
    <row r="526" spans="1:12" outlineLevel="3">
      <c r="A526" t="s">
        <v>37</v>
      </c>
      <c r="B526" t="s">
        <v>493</v>
      </c>
      <c r="C526" t="str">
        <f>CONCATENATE(E526,G526,I526,H526,J526)</f>
        <v>DV460FHB-NV0-4WK0FLJ96D</v>
      </c>
      <c r="D526" t="s">
        <v>494</v>
      </c>
      <c r="E526" t="s">
        <v>490</v>
      </c>
      <c r="F526" t="s">
        <v>55</v>
      </c>
      <c r="G526" t="s">
        <v>56</v>
      </c>
      <c r="H526" t="s">
        <v>57</v>
      </c>
      <c r="I526" t="s">
        <v>105</v>
      </c>
      <c r="J526" t="s">
        <v>45</v>
      </c>
      <c r="K526">
        <v>7</v>
      </c>
    </row>
    <row r="527" spans="1:12" outlineLevel="2">
      <c r="C527" t="s">
        <v>957</v>
      </c>
      <c r="K527">
        <f>SUBTOTAL(3,K526:K526)</f>
        <v>1</v>
      </c>
    </row>
    <row r="528" spans="1:12" outlineLevel="1">
      <c r="C528" t="s">
        <v>782</v>
      </c>
      <c r="K528">
        <f>SUBTOTAL(9,K526:K526)</f>
        <v>7</v>
      </c>
    </row>
    <row r="529" spans="1:12" outlineLevel="3">
      <c r="A529" t="s">
        <v>37</v>
      </c>
      <c r="B529" t="s">
        <v>508</v>
      </c>
      <c r="C529" t="str">
        <f>CONCATENATE(E529,G529,I529,H529,J529)</f>
        <v>DV460FHB-NV0-4WK0F0J96D</v>
      </c>
      <c r="D529" t="s">
        <v>509</v>
      </c>
      <c r="E529" t="s">
        <v>490</v>
      </c>
      <c r="F529" t="s">
        <v>55</v>
      </c>
      <c r="G529" t="s">
        <v>56</v>
      </c>
      <c r="H529" t="s">
        <v>57</v>
      </c>
      <c r="I529" t="s">
        <v>58</v>
      </c>
      <c r="J529" t="s">
        <v>45</v>
      </c>
      <c r="K529">
        <v>8</v>
      </c>
    </row>
    <row r="530" spans="1:12" outlineLevel="2">
      <c r="C530" t="s">
        <v>958</v>
      </c>
      <c r="K530">
        <f>SUBTOTAL(3,K529:K529)</f>
        <v>1</v>
      </c>
    </row>
    <row r="531" spans="1:12" outlineLevel="1">
      <c r="C531" t="s">
        <v>783</v>
      </c>
      <c r="K531">
        <f>SUBTOTAL(9,K529:K529)</f>
        <v>8</v>
      </c>
    </row>
    <row r="532" spans="1:12" outlineLevel="3">
      <c r="A532" t="s">
        <v>37</v>
      </c>
      <c r="B532" t="s">
        <v>495</v>
      </c>
      <c r="C532" t="str">
        <f>CONCATENATE(E532,G532,I532,H532,J532)</f>
        <v>DV460FHB-NV0-4WK0AXM08D</v>
      </c>
      <c r="D532" t="s">
        <v>496</v>
      </c>
      <c r="E532" t="s">
        <v>490</v>
      </c>
      <c r="F532" t="s">
        <v>55</v>
      </c>
      <c r="G532" t="s">
        <v>42</v>
      </c>
      <c r="H532" t="s">
        <v>65</v>
      </c>
      <c r="I532" t="s">
        <v>262</v>
      </c>
      <c r="J532" t="s">
        <v>45</v>
      </c>
      <c r="K532">
        <v>10</v>
      </c>
    </row>
    <row r="533" spans="1:12" outlineLevel="2">
      <c r="C533" t="s">
        <v>959</v>
      </c>
      <c r="K533">
        <f>SUBTOTAL(3,K532:K532)</f>
        <v>1</v>
      </c>
    </row>
    <row r="534" spans="1:12" outlineLevel="1">
      <c r="C534" t="s">
        <v>784</v>
      </c>
      <c r="K534">
        <f>SUBTOTAL(9,K532:K532)</f>
        <v>10</v>
      </c>
    </row>
    <row r="535" spans="1:12" outlineLevel="3">
      <c r="A535" t="s">
        <v>37</v>
      </c>
      <c r="B535" t="s">
        <v>109</v>
      </c>
      <c r="C535" t="str">
        <f>CONCATENATE(E535,G535,I535,H535,J535)</f>
        <v>DV320FHB-N01-49P0T0M01D</v>
      </c>
      <c r="D535" t="s">
        <v>110</v>
      </c>
      <c r="E535" t="s">
        <v>86</v>
      </c>
      <c r="F535" t="s">
        <v>55</v>
      </c>
      <c r="G535" t="s">
        <v>91</v>
      </c>
      <c r="H535" t="s">
        <v>61</v>
      </c>
      <c r="I535" t="s">
        <v>58</v>
      </c>
      <c r="J535" t="s">
        <v>45</v>
      </c>
      <c r="K535">
        <v>8</v>
      </c>
      <c r="L535" t="s">
        <v>46</v>
      </c>
    </row>
    <row r="536" spans="1:12" outlineLevel="3">
      <c r="A536" t="s">
        <v>37</v>
      </c>
      <c r="B536" t="s">
        <v>359</v>
      </c>
      <c r="C536" t="str">
        <f>CONCATENATE(E536,G536,I536,H536,J536)</f>
        <v>DV320FHB-N01-49P0T0M01D</v>
      </c>
      <c r="D536" t="s">
        <v>360</v>
      </c>
      <c r="E536" t="s">
        <v>86</v>
      </c>
      <c r="F536" t="s">
        <v>55</v>
      </c>
      <c r="G536" t="s">
        <v>91</v>
      </c>
      <c r="H536" t="s">
        <v>61</v>
      </c>
      <c r="I536" t="s">
        <v>58</v>
      </c>
      <c r="J536" t="s">
        <v>45</v>
      </c>
      <c r="K536">
        <v>13</v>
      </c>
    </row>
    <row r="537" spans="1:12" outlineLevel="2">
      <c r="C537" t="s">
        <v>960</v>
      </c>
      <c r="K537">
        <f>SUBTOTAL(3,K535:K536)</f>
        <v>2</v>
      </c>
    </row>
    <row r="538" spans="1:12" outlineLevel="1">
      <c r="C538" t="s">
        <v>785</v>
      </c>
      <c r="K538">
        <f>SUBTOTAL(9,K535:K536)</f>
        <v>21</v>
      </c>
    </row>
    <row r="539" spans="1:12" outlineLevel="3">
      <c r="A539" t="s">
        <v>37</v>
      </c>
      <c r="B539" t="s">
        <v>84</v>
      </c>
      <c r="C539" t="str">
        <f>CONCATENATE(E539,G539,I539,H539,J539)</f>
        <v>DV320FHB-N01-49P0Q0M01D</v>
      </c>
      <c r="D539" t="s">
        <v>85</v>
      </c>
      <c r="E539" t="s">
        <v>86</v>
      </c>
      <c r="F539" t="s">
        <v>55</v>
      </c>
      <c r="G539" t="s">
        <v>69</v>
      </c>
      <c r="H539" t="s">
        <v>61</v>
      </c>
      <c r="I539" t="s">
        <v>58</v>
      </c>
      <c r="J539" t="s">
        <v>45</v>
      </c>
      <c r="K539">
        <v>8</v>
      </c>
      <c r="L539" t="s">
        <v>46</v>
      </c>
    </row>
    <row r="540" spans="1:12" outlineLevel="3">
      <c r="A540" t="s">
        <v>37</v>
      </c>
      <c r="B540" t="s">
        <v>248</v>
      </c>
      <c r="C540" t="str">
        <f>CONCATENATE(E540,G540,I540,H540,J540)</f>
        <v>DV320FHB-N01-49P0Q0M01D</v>
      </c>
      <c r="D540" t="s">
        <v>249</v>
      </c>
      <c r="E540" t="s">
        <v>86</v>
      </c>
      <c r="F540" t="s">
        <v>55</v>
      </c>
      <c r="G540" t="s">
        <v>69</v>
      </c>
      <c r="H540" t="s">
        <v>61</v>
      </c>
      <c r="I540" t="s">
        <v>58</v>
      </c>
      <c r="J540" t="s">
        <v>45</v>
      </c>
      <c r="K540">
        <v>6</v>
      </c>
      <c r="L540" t="s">
        <v>46</v>
      </c>
    </row>
    <row r="541" spans="1:12" outlineLevel="3">
      <c r="A541" t="s">
        <v>37</v>
      </c>
      <c r="B541" t="s">
        <v>357</v>
      </c>
      <c r="C541" t="str">
        <f>CONCATENATE(E541,G541,I541,H541,J541)</f>
        <v>DV320FHB-N01-49P0Q0M01D</v>
      </c>
      <c r="D541" t="s">
        <v>358</v>
      </c>
      <c r="E541" t="s">
        <v>86</v>
      </c>
      <c r="F541" t="s">
        <v>55</v>
      </c>
      <c r="G541" t="s">
        <v>69</v>
      </c>
      <c r="H541" t="s">
        <v>61</v>
      </c>
      <c r="I541" t="s">
        <v>58</v>
      </c>
      <c r="J541" t="s">
        <v>45</v>
      </c>
      <c r="K541">
        <v>7</v>
      </c>
    </row>
    <row r="542" spans="1:12" outlineLevel="3">
      <c r="A542" t="s">
        <v>37</v>
      </c>
      <c r="B542" t="s">
        <v>365</v>
      </c>
      <c r="C542" t="str">
        <f>CONCATENATE(E542,G542,I542,H542,J542)</f>
        <v>DV320FHB-N01-49P0Q0M01D</v>
      </c>
      <c r="D542" t="s">
        <v>366</v>
      </c>
      <c r="E542" t="s">
        <v>86</v>
      </c>
      <c r="F542" t="s">
        <v>55</v>
      </c>
      <c r="G542" t="s">
        <v>69</v>
      </c>
      <c r="H542" t="s">
        <v>61</v>
      </c>
      <c r="I542" t="s">
        <v>58</v>
      </c>
      <c r="J542" t="s">
        <v>45</v>
      </c>
      <c r="K542">
        <v>14</v>
      </c>
    </row>
    <row r="543" spans="1:12" outlineLevel="2">
      <c r="C543" t="s">
        <v>961</v>
      </c>
      <c r="K543">
        <f>SUBTOTAL(3,K539:K542)</f>
        <v>4</v>
      </c>
    </row>
    <row r="544" spans="1:12" outlineLevel="1">
      <c r="C544" t="s">
        <v>786</v>
      </c>
      <c r="K544">
        <f>SUBTOTAL(9,K539:K542)</f>
        <v>35</v>
      </c>
    </row>
    <row r="545" spans="1:12" outlineLevel="3">
      <c r="A545" t="s">
        <v>37</v>
      </c>
      <c r="B545" t="s">
        <v>301</v>
      </c>
      <c r="C545" t="str">
        <f>CONCATENATE(E545,G545,I545,H545,J545)</f>
        <v>DV320FHB-N01-49P0FMJ97D</v>
      </c>
      <c r="D545" t="s">
        <v>302</v>
      </c>
      <c r="E545" t="s">
        <v>86</v>
      </c>
      <c r="F545" t="s">
        <v>55</v>
      </c>
      <c r="G545" t="s">
        <v>56</v>
      </c>
      <c r="H545" t="s">
        <v>175</v>
      </c>
      <c r="I545" t="s">
        <v>176</v>
      </c>
      <c r="J545" t="s">
        <v>45</v>
      </c>
      <c r="K545">
        <v>1</v>
      </c>
      <c r="L545" t="s">
        <v>46</v>
      </c>
    </row>
    <row r="546" spans="1:12" outlineLevel="3">
      <c r="A546" t="s">
        <v>37</v>
      </c>
      <c r="B546" t="s">
        <v>333</v>
      </c>
      <c r="C546" t="str">
        <f>CONCATENATE(E546,G546,I546,H546,J546)</f>
        <v>DV320FHB-N01-49P0FMJ97D</v>
      </c>
      <c r="D546" t="s">
        <v>334</v>
      </c>
      <c r="E546" t="s">
        <v>86</v>
      </c>
      <c r="F546" t="s">
        <v>55</v>
      </c>
      <c r="G546" t="s">
        <v>56</v>
      </c>
      <c r="H546" t="s">
        <v>175</v>
      </c>
      <c r="I546" t="s">
        <v>176</v>
      </c>
      <c r="J546" t="s">
        <v>45</v>
      </c>
      <c r="K546">
        <v>9</v>
      </c>
    </row>
    <row r="547" spans="1:12" outlineLevel="2">
      <c r="C547" t="s">
        <v>962</v>
      </c>
      <c r="K547">
        <f>SUBTOTAL(3,K545:K546)</f>
        <v>2</v>
      </c>
    </row>
    <row r="548" spans="1:12" outlineLevel="1">
      <c r="C548" t="s">
        <v>787</v>
      </c>
      <c r="K548">
        <f>SUBTOTAL(9,K545:K546)</f>
        <v>10</v>
      </c>
    </row>
    <row r="549" spans="1:12" outlineLevel="3">
      <c r="A549" t="s">
        <v>37</v>
      </c>
      <c r="B549" t="s">
        <v>282</v>
      </c>
      <c r="C549" t="str">
        <f>CONCATENATE(E549,G549,I549,H549,J549)</f>
        <v>DV320FHB-N01-49P0FLJ96D</v>
      </c>
      <c r="D549" t="s">
        <v>283</v>
      </c>
      <c r="E549" t="s">
        <v>86</v>
      </c>
      <c r="F549" t="s">
        <v>55</v>
      </c>
      <c r="G549" t="s">
        <v>56</v>
      </c>
      <c r="H549" t="s">
        <v>57</v>
      </c>
      <c r="I549" t="s">
        <v>105</v>
      </c>
      <c r="J549" t="s">
        <v>45</v>
      </c>
      <c r="K549">
        <v>1</v>
      </c>
      <c r="L549" t="s">
        <v>46</v>
      </c>
    </row>
    <row r="550" spans="1:12" outlineLevel="3">
      <c r="A550" t="s">
        <v>37</v>
      </c>
      <c r="B550" t="s">
        <v>361</v>
      </c>
      <c r="C550" t="str">
        <f>CONCATENATE(E550,G550,I550,H550,J550)</f>
        <v>DV320FHB-N01-49P0FLJ96D</v>
      </c>
      <c r="D550" t="s">
        <v>362</v>
      </c>
      <c r="E550" t="s">
        <v>86</v>
      </c>
      <c r="F550" t="s">
        <v>55</v>
      </c>
      <c r="G550" t="s">
        <v>56</v>
      </c>
      <c r="H550" t="s">
        <v>57</v>
      </c>
      <c r="I550" t="s">
        <v>105</v>
      </c>
      <c r="J550" t="s">
        <v>45</v>
      </c>
      <c r="K550">
        <v>5</v>
      </c>
    </row>
    <row r="551" spans="1:12" outlineLevel="2">
      <c r="C551" t="s">
        <v>963</v>
      </c>
      <c r="K551">
        <f>SUBTOTAL(3,K549:K550)</f>
        <v>2</v>
      </c>
    </row>
    <row r="552" spans="1:12" outlineLevel="1">
      <c r="C552" t="s">
        <v>788</v>
      </c>
      <c r="K552">
        <f>SUBTOTAL(9,K549:K550)</f>
        <v>6</v>
      </c>
    </row>
    <row r="553" spans="1:12" outlineLevel="3">
      <c r="A553" t="s">
        <v>37</v>
      </c>
      <c r="B553" t="s">
        <v>113</v>
      </c>
      <c r="C553" t="str">
        <f>CONCATENATE(E553,G553,I553,H553,J553)</f>
        <v>DV320FHB-N01-49P0F0J96D</v>
      </c>
      <c r="D553" t="s">
        <v>114</v>
      </c>
      <c r="E553" t="s">
        <v>86</v>
      </c>
      <c r="F553" t="s">
        <v>55</v>
      </c>
      <c r="G553" t="s">
        <v>56</v>
      </c>
      <c r="H553" t="s">
        <v>57</v>
      </c>
      <c r="I553" t="s">
        <v>58</v>
      </c>
      <c r="J553" t="s">
        <v>45</v>
      </c>
      <c r="K553">
        <v>2</v>
      </c>
      <c r="L553" t="s">
        <v>46</v>
      </c>
    </row>
    <row r="554" spans="1:12" outlineLevel="3">
      <c r="A554" t="s">
        <v>37</v>
      </c>
      <c r="B554" t="s">
        <v>299</v>
      </c>
      <c r="C554" t="str">
        <f>CONCATENATE(E554,G554,I554,H554,J554)</f>
        <v>DV320FHB-N01-49P0F0J96D</v>
      </c>
      <c r="D554" t="s">
        <v>300</v>
      </c>
      <c r="E554" t="s">
        <v>86</v>
      </c>
      <c r="F554" t="s">
        <v>55</v>
      </c>
      <c r="G554" t="s">
        <v>56</v>
      </c>
      <c r="H554" t="s">
        <v>57</v>
      </c>
      <c r="I554" t="s">
        <v>58</v>
      </c>
      <c r="J554" t="s">
        <v>45</v>
      </c>
      <c r="K554">
        <v>2</v>
      </c>
      <c r="L554" t="s">
        <v>46</v>
      </c>
    </row>
    <row r="555" spans="1:12" outlineLevel="3">
      <c r="A555" t="s">
        <v>37</v>
      </c>
      <c r="B555" t="s">
        <v>335</v>
      </c>
      <c r="C555" t="str">
        <f>CONCATENATE(E555,G555,I555,H555,J555)</f>
        <v>DV320FHB-N01-49P0F0J96D</v>
      </c>
      <c r="D555" t="s">
        <v>336</v>
      </c>
      <c r="E555" t="s">
        <v>86</v>
      </c>
      <c r="F555" t="s">
        <v>55</v>
      </c>
      <c r="G555" t="s">
        <v>56</v>
      </c>
      <c r="H555" t="s">
        <v>57</v>
      </c>
      <c r="I555" t="s">
        <v>58</v>
      </c>
      <c r="J555" t="s">
        <v>45</v>
      </c>
      <c r="K555">
        <v>13</v>
      </c>
    </row>
    <row r="556" spans="1:12" outlineLevel="3">
      <c r="A556" t="s">
        <v>37</v>
      </c>
      <c r="B556" t="s">
        <v>436</v>
      </c>
      <c r="C556" t="str">
        <f>CONCATENATE(E556,G556,I556,H556,J556)</f>
        <v>DV320FHB-N01-49P0F0J96D</v>
      </c>
      <c r="D556" t="s">
        <v>437</v>
      </c>
      <c r="E556" t="s">
        <v>86</v>
      </c>
      <c r="F556" t="s">
        <v>55</v>
      </c>
      <c r="G556" t="s">
        <v>56</v>
      </c>
      <c r="H556" t="s">
        <v>57</v>
      </c>
      <c r="I556" t="s">
        <v>58</v>
      </c>
      <c r="J556" t="s">
        <v>45</v>
      </c>
      <c r="K556">
        <v>2</v>
      </c>
    </row>
    <row r="557" spans="1:12" outlineLevel="3">
      <c r="A557" t="s">
        <v>37</v>
      </c>
      <c r="B557" t="s">
        <v>454</v>
      </c>
      <c r="C557" t="str">
        <f>CONCATENATE(E557,G557,I557,H557,J557)</f>
        <v>DV320FHB-N01-49P0F0J96D</v>
      </c>
      <c r="D557" t="s">
        <v>455</v>
      </c>
      <c r="E557" t="s">
        <v>86</v>
      </c>
      <c r="F557" t="s">
        <v>55</v>
      </c>
      <c r="G557" t="s">
        <v>56</v>
      </c>
      <c r="H557" t="s">
        <v>57</v>
      </c>
      <c r="I557" t="s">
        <v>58</v>
      </c>
      <c r="J557" t="s">
        <v>45</v>
      </c>
      <c r="K557">
        <v>8</v>
      </c>
    </row>
    <row r="558" spans="1:12" outlineLevel="2">
      <c r="C558" t="s">
        <v>964</v>
      </c>
      <c r="K558">
        <f>SUBTOTAL(3,K553:K557)</f>
        <v>5</v>
      </c>
    </row>
    <row r="559" spans="1:12" outlineLevel="1">
      <c r="C559" t="s">
        <v>789</v>
      </c>
      <c r="K559">
        <f>SUBTOTAL(9,K553:K557)</f>
        <v>27</v>
      </c>
    </row>
    <row r="560" spans="1:12" outlineLevel="3">
      <c r="A560" t="s">
        <v>37</v>
      </c>
      <c r="B560" t="s">
        <v>280</v>
      </c>
      <c r="C560" t="str">
        <f>CONCATENATE(E560,G560,I560,H560,J560)</f>
        <v>DV320FHB-N01-49P0AXM01D</v>
      </c>
      <c r="D560" t="s">
        <v>281</v>
      </c>
      <c r="E560" t="s">
        <v>86</v>
      </c>
      <c r="F560" t="s">
        <v>55</v>
      </c>
      <c r="G560" t="s">
        <v>42</v>
      </c>
      <c r="H560" t="s">
        <v>61</v>
      </c>
      <c r="I560" t="s">
        <v>262</v>
      </c>
      <c r="J560" t="s">
        <v>45</v>
      </c>
      <c r="K560">
        <v>15</v>
      </c>
      <c r="L560" t="s">
        <v>46</v>
      </c>
    </row>
    <row r="561" spans="1:12" outlineLevel="3">
      <c r="A561" t="s">
        <v>37</v>
      </c>
      <c r="B561" t="s">
        <v>297</v>
      </c>
      <c r="C561" t="str">
        <f>CONCATENATE(E561,G561,I561,H561,J561)</f>
        <v>DV320FHB-N01-49P0AXM01D</v>
      </c>
      <c r="D561" t="s">
        <v>298</v>
      </c>
      <c r="E561" t="s">
        <v>86</v>
      </c>
      <c r="F561" t="s">
        <v>55</v>
      </c>
      <c r="G561" t="s">
        <v>42</v>
      </c>
      <c r="H561" t="s">
        <v>61</v>
      </c>
      <c r="I561" t="s">
        <v>262</v>
      </c>
      <c r="J561" t="s">
        <v>45</v>
      </c>
      <c r="K561">
        <v>9</v>
      </c>
      <c r="L561" t="s">
        <v>46</v>
      </c>
    </row>
    <row r="562" spans="1:12" outlineLevel="3">
      <c r="A562" t="s">
        <v>37</v>
      </c>
      <c r="B562" t="s">
        <v>438</v>
      </c>
      <c r="C562" t="str">
        <f>CONCATENATE(E562,G562,I562,H562,J562)</f>
        <v>DV320FHB-N01-49P0AXM01D</v>
      </c>
      <c r="D562" t="s">
        <v>439</v>
      </c>
      <c r="E562" t="s">
        <v>86</v>
      </c>
      <c r="F562" t="s">
        <v>55</v>
      </c>
      <c r="G562" t="s">
        <v>42</v>
      </c>
      <c r="H562" t="s">
        <v>61</v>
      </c>
      <c r="I562" t="s">
        <v>262</v>
      </c>
      <c r="J562" t="s">
        <v>45</v>
      </c>
      <c r="K562">
        <v>12</v>
      </c>
    </row>
    <row r="563" spans="1:12" outlineLevel="2">
      <c r="C563" t="s">
        <v>965</v>
      </c>
      <c r="K563">
        <f>SUBTOTAL(3,K560:K562)</f>
        <v>3</v>
      </c>
    </row>
    <row r="564" spans="1:12" outlineLevel="1">
      <c r="C564" t="s">
        <v>790</v>
      </c>
      <c r="K564">
        <f>SUBTOTAL(9,K560:K562)</f>
        <v>36</v>
      </c>
    </row>
    <row r="565" spans="1:12" outlineLevel="3">
      <c r="A565" t="s">
        <v>37</v>
      </c>
      <c r="B565" t="s">
        <v>295</v>
      </c>
      <c r="C565" t="str">
        <f>CONCATENATE(E565,G565,I565,H565,J565)</f>
        <v>DV320FHB-N01-49P0ASM01D</v>
      </c>
      <c r="D565" t="s">
        <v>296</v>
      </c>
      <c r="E565" t="s">
        <v>86</v>
      </c>
      <c r="F565" t="s">
        <v>55</v>
      </c>
      <c r="G565" t="s">
        <v>42</v>
      </c>
      <c r="H565" t="s">
        <v>61</v>
      </c>
      <c r="I565" t="s">
        <v>44</v>
      </c>
      <c r="J565" t="s">
        <v>45</v>
      </c>
      <c r="K565">
        <v>13</v>
      </c>
      <c r="L565" t="s">
        <v>46</v>
      </c>
    </row>
    <row r="566" spans="1:12" outlineLevel="3">
      <c r="A566" t="s">
        <v>37</v>
      </c>
      <c r="B566" t="s">
        <v>345</v>
      </c>
      <c r="C566" t="str">
        <f>CONCATENATE(E566,G566,I566,H566,J566)</f>
        <v>DV320FHB-N01-49P0ASM01D</v>
      </c>
      <c r="D566" t="s">
        <v>346</v>
      </c>
      <c r="E566" t="s">
        <v>86</v>
      </c>
      <c r="F566" t="s">
        <v>55</v>
      </c>
      <c r="G566" t="s">
        <v>42</v>
      </c>
      <c r="H566" t="s">
        <v>61</v>
      </c>
      <c r="I566" t="s">
        <v>44</v>
      </c>
      <c r="J566" t="s">
        <v>45</v>
      </c>
      <c r="K566">
        <v>11</v>
      </c>
    </row>
    <row r="567" spans="1:12" outlineLevel="2">
      <c r="C567" t="s">
        <v>966</v>
      </c>
      <c r="K567">
        <f>SUBTOTAL(3,K565:K566)</f>
        <v>2</v>
      </c>
    </row>
    <row r="568" spans="1:12" outlineLevel="1">
      <c r="C568" t="s">
        <v>791</v>
      </c>
      <c r="K568">
        <f>SUBTOTAL(9,K565:K566)</f>
        <v>24</v>
      </c>
    </row>
    <row r="569" spans="1:12" outlineLevel="3">
      <c r="A569" t="s">
        <v>37</v>
      </c>
      <c r="B569" t="s">
        <v>367</v>
      </c>
      <c r="C569" t="str">
        <f>CONCATENATE(E569,G569,I569,H569,J569)</f>
        <v>DV320FHB-N01-49P0AQM01D</v>
      </c>
      <c r="D569" t="s">
        <v>368</v>
      </c>
      <c r="E569" t="s">
        <v>86</v>
      </c>
      <c r="F569" t="s">
        <v>55</v>
      </c>
      <c r="G569" t="s">
        <v>42</v>
      </c>
      <c r="H569" t="s">
        <v>61</v>
      </c>
      <c r="I569" t="s">
        <v>69</v>
      </c>
      <c r="J569" t="s">
        <v>45</v>
      </c>
      <c r="K569">
        <v>4</v>
      </c>
    </row>
    <row r="570" spans="1:12" outlineLevel="2">
      <c r="C570" t="s">
        <v>967</v>
      </c>
      <c r="K570">
        <f>SUBTOTAL(3,K569:K569)</f>
        <v>1</v>
      </c>
    </row>
    <row r="571" spans="1:12" outlineLevel="1">
      <c r="C571" t="s">
        <v>792</v>
      </c>
      <c r="K571">
        <f>SUBTOTAL(9,K569:K569)</f>
        <v>4</v>
      </c>
    </row>
    <row r="572" spans="1:12" outlineLevel="3">
      <c r="A572" t="s">
        <v>37</v>
      </c>
      <c r="B572" t="s">
        <v>284</v>
      </c>
      <c r="C572" t="str">
        <f>CONCATENATE(E572,G572,I572,H572,J572)</f>
        <v>DV320FHB-N01-49P0ANM01D</v>
      </c>
      <c r="D572" t="s">
        <v>285</v>
      </c>
      <c r="E572" t="s">
        <v>86</v>
      </c>
      <c r="F572" t="s">
        <v>55</v>
      </c>
      <c r="G572" t="s">
        <v>42</v>
      </c>
      <c r="H572" t="s">
        <v>61</v>
      </c>
      <c r="I572" t="s">
        <v>51</v>
      </c>
      <c r="J572" t="s">
        <v>45</v>
      </c>
      <c r="K572">
        <v>15</v>
      </c>
      <c r="L572" t="s">
        <v>46</v>
      </c>
    </row>
    <row r="573" spans="1:12" outlineLevel="3">
      <c r="A573" t="s">
        <v>37</v>
      </c>
      <c r="B573" t="s">
        <v>291</v>
      </c>
      <c r="C573" t="str">
        <f>CONCATENATE(E573,G573,I573,H573,J573)</f>
        <v>DV320FHB-N01-49P0ANM01D</v>
      </c>
      <c r="D573" t="s">
        <v>292</v>
      </c>
      <c r="E573" t="s">
        <v>86</v>
      </c>
      <c r="F573" t="s">
        <v>55</v>
      </c>
      <c r="G573" t="s">
        <v>42</v>
      </c>
      <c r="H573" t="s">
        <v>61</v>
      </c>
      <c r="I573" t="s">
        <v>51</v>
      </c>
      <c r="J573" t="s">
        <v>45</v>
      </c>
      <c r="K573">
        <v>3</v>
      </c>
      <c r="L573" t="s">
        <v>46</v>
      </c>
    </row>
    <row r="574" spans="1:12" outlineLevel="3">
      <c r="A574" t="s">
        <v>37</v>
      </c>
      <c r="B574" t="s">
        <v>293</v>
      </c>
      <c r="C574" t="str">
        <f>CONCATENATE(E574,G574,I574,H574,J574)</f>
        <v>DV320FHB-N01-49P0ANM01D</v>
      </c>
      <c r="D574" t="s">
        <v>294</v>
      </c>
      <c r="E574" t="s">
        <v>86</v>
      </c>
      <c r="F574" t="s">
        <v>55</v>
      </c>
      <c r="G574" t="s">
        <v>42</v>
      </c>
      <c r="H574" t="s">
        <v>61</v>
      </c>
      <c r="I574" t="s">
        <v>51</v>
      </c>
      <c r="J574" t="s">
        <v>45</v>
      </c>
      <c r="K574">
        <v>15</v>
      </c>
      <c r="L574" t="s">
        <v>46</v>
      </c>
    </row>
    <row r="575" spans="1:12" outlineLevel="3">
      <c r="A575" t="s">
        <v>37</v>
      </c>
      <c r="B575" t="s">
        <v>363</v>
      </c>
      <c r="C575" t="str">
        <f>CONCATENATE(E575,G575,I575,H575,J575)</f>
        <v>DV320FHB-N01-49P0ANM01D</v>
      </c>
      <c r="D575" t="s">
        <v>364</v>
      </c>
      <c r="E575" t="s">
        <v>86</v>
      </c>
      <c r="F575" t="s">
        <v>55</v>
      </c>
      <c r="G575" t="s">
        <v>42</v>
      </c>
      <c r="H575" t="s">
        <v>61</v>
      </c>
      <c r="I575" t="s">
        <v>51</v>
      </c>
      <c r="J575" t="s">
        <v>45</v>
      </c>
      <c r="K575">
        <v>2</v>
      </c>
    </row>
    <row r="576" spans="1:12" outlineLevel="2">
      <c r="C576" t="s">
        <v>968</v>
      </c>
      <c r="K576">
        <f>SUBTOTAL(3,K572:K575)</f>
        <v>4</v>
      </c>
    </row>
    <row r="577" spans="1:11" outlineLevel="1">
      <c r="C577" t="s">
        <v>793</v>
      </c>
      <c r="K577">
        <f>SUBTOTAL(9,K572:K575)</f>
        <v>35</v>
      </c>
    </row>
    <row r="578" spans="1:11" outlineLevel="3">
      <c r="A578" t="s">
        <v>37</v>
      </c>
      <c r="B578" t="s">
        <v>419</v>
      </c>
      <c r="C578" t="str">
        <f>CONCATENATE(E578,G578,I578,H578,J578)</f>
        <v>DV320FHB-N01-49P0ALM01D</v>
      </c>
      <c r="D578" t="s">
        <v>420</v>
      </c>
      <c r="E578" t="s">
        <v>86</v>
      </c>
      <c r="F578" t="s">
        <v>55</v>
      </c>
      <c r="G578" t="s">
        <v>42</v>
      </c>
      <c r="H578" t="s">
        <v>61</v>
      </c>
      <c r="I578" t="s">
        <v>105</v>
      </c>
      <c r="J578" t="s">
        <v>45</v>
      </c>
      <c r="K578">
        <v>4</v>
      </c>
    </row>
    <row r="579" spans="1:11" outlineLevel="2">
      <c r="C579" t="s">
        <v>969</v>
      </c>
      <c r="K579">
        <f>SUBTOTAL(3,K578:K578)</f>
        <v>1</v>
      </c>
    </row>
    <row r="580" spans="1:11" outlineLevel="1">
      <c r="C580" t="s">
        <v>794</v>
      </c>
      <c r="K580">
        <f>SUBTOTAL(9,K578:K578)</f>
        <v>4</v>
      </c>
    </row>
    <row r="581" spans="1:11" outlineLevel="3">
      <c r="A581" t="s">
        <v>37</v>
      </c>
      <c r="B581" t="s">
        <v>605</v>
      </c>
      <c r="C581" t="str">
        <f>CONCATENATE(E581,G581,I581,H581,J581)</f>
        <v>DV320FHB-N01-49P0A0M01D</v>
      </c>
      <c r="D581" t="s">
        <v>606</v>
      </c>
      <c r="E581" t="s">
        <v>86</v>
      </c>
      <c r="F581" t="s">
        <v>55</v>
      </c>
      <c r="G581" t="s">
        <v>42</v>
      </c>
      <c r="H581" t="s">
        <v>61</v>
      </c>
      <c r="I581" t="s">
        <v>58</v>
      </c>
      <c r="J581" t="s">
        <v>45</v>
      </c>
      <c r="K581">
        <v>2</v>
      </c>
    </row>
    <row r="582" spans="1:11" outlineLevel="2">
      <c r="C582" t="s">
        <v>970</v>
      </c>
      <c r="K582">
        <f>SUBTOTAL(3,K581:K581)</f>
        <v>1</v>
      </c>
    </row>
    <row r="583" spans="1:11" outlineLevel="1">
      <c r="C583" t="s">
        <v>795</v>
      </c>
      <c r="K583">
        <f>SUBTOTAL(9,K581:K581)</f>
        <v>2</v>
      </c>
    </row>
    <row r="584" spans="1:11" outlineLevel="3">
      <c r="A584" t="s">
        <v>37</v>
      </c>
      <c r="B584" t="s">
        <v>416</v>
      </c>
      <c r="C584" t="str">
        <f>CONCATENATE(E584,G584,I584,H584,J584)</f>
        <v>DV185WHM-NM2-48S0ANMC1D</v>
      </c>
      <c r="D584" t="s">
        <v>417</v>
      </c>
      <c r="E584" t="s">
        <v>418</v>
      </c>
      <c r="F584" t="s">
        <v>41</v>
      </c>
      <c r="G584" t="s">
        <v>42</v>
      </c>
      <c r="H584" t="s">
        <v>43</v>
      </c>
      <c r="I584" t="s">
        <v>51</v>
      </c>
      <c r="J584" t="s">
        <v>45</v>
      </c>
      <c r="K584">
        <v>3</v>
      </c>
    </row>
    <row r="585" spans="1:11" outlineLevel="2">
      <c r="C585" t="s">
        <v>971</v>
      </c>
      <c r="K585">
        <f>SUBTOTAL(3,K584:K584)</f>
        <v>1</v>
      </c>
    </row>
    <row r="586" spans="1:11" outlineLevel="1">
      <c r="C586" t="s">
        <v>796</v>
      </c>
      <c r="K586">
        <f>SUBTOTAL(9,K584:K584)</f>
        <v>3</v>
      </c>
    </row>
    <row r="587" spans="1:11" outlineLevel="3">
      <c r="A587" t="s">
        <v>37</v>
      </c>
      <c r="B587" t="s">
        <v>403</v>
      </c>
      <c r="C587" t="str">
        <f>CONCATENATE(E587,G587,I587,H587,J587)</f>
        <v>DV185WHM-NM1-48S0ANMC1D</v>
      </c>
      <c r="D587" t="s">
        <v>404</v>
      </c>
      <c r="E587" t="s">
        <v>250</v>
      </c>
      <c r="F587" t="s">
        <v>41</v>
      </c>
      <c r="G587" t="s">
        <v>42</v>
      </c>
      <c r="H587" t="s">
        <v>43</v>
      </c>
      <c r="I587" t="s">
        <v>51</v>
      </c>
      <c r="J587" t="s">
        <v>45</v>
      </c>
      <c r="K587">
        <v>13</v>
      </c>
    </row>
    <row r="588" spans="1:11" outlineLevel="2">
      <c r="C588" t="s">
        <v>972</v>
      </c>
      <c r="K588">
        <f>SUBTOTAL(3,K587:K587)</f>
        <v>1</v>
      </c>
    </row>
    <row r="589" spans="1:11" outlineLevel="1">
      <c r="C589" t="s">
        <v>797</v>
      </c>
      <c r="K589">
        <f>SUBTOTAL(9,K587:K587)</f>
        <v>13</v>
      </c>
    </row>
    <row r="590" spans="1:11">
      <c r="C590" t="s">
        <v>973</v>
      </c>
      <c r="K590">
        <f>SUBTOTAL(3,K2:K587)</f>
        <v>240</v>
      </c>
    </row>
    <row r="591" spans="1:11">
      <c r="C591" t="s">
        <v>798</v>
      </c>
      <c r="K591">
        <f>SUBTOTAL(9,K2:K587)</f>
        <v>1594</v>
      </c>
    </row>
  </sheetData>
  <sortState ref="A2:L241">
    <sortCondition descending="1" ref="C1"/>
  </sortState>
  <phoneticPr fontId="1" type="noConversion"/>
  <conditionalFormatting sqref="C1:C1048576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C4" sqref="C4"/>
    </sheetView>
  </sheetViews>
  <sheetFormatPr defaultRowHeight="13.5"/>
  <sheetData>
    <row r="1" spans="1:1">
      <c r="A1" t="s">
        <v>25</v>
      </c>
    </row>
  </sheetData>
  <phoneticPr fontId="1" type="noConversion"/>
  <pageMargins left="0.7" right="0.7" top="0.75" bottom="0.75" header="0.3" footer="0.3"/>
  <pageSetup paperSize="256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028" r:id="rId4" name="BarCodeCtrl">
          <controlPr defaultSize="0" autoLine="0" autoPict="0" r:id="rId5">
            <anchor moveWithCells="1">
              <from>
                <xdr:col>2</xdr:col>
                <xdr:colOff>323850</xdr:colOff>
                <xdr:row>20</xdr:row>
                <xdr:rowOff>123825</xdr:rowOff>
              </from>
              <to>
                <xdr:col>9</xdr:col>
                <xdr:colOff>600075</xdr:colOff>
                <xdr:row>26</xdr:row>
                <xdr:rowOff>114300</xdr:rowOff>
              </to>
            </anchor>
          </controlPr>
        </control>
      </mc:Choice>
      <mc:Fallback>
        <control shapeId="1028" r:id="rId4" name="BarCodeCtr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kuaixueba</vt:lpstr>
      <vt:lpstr> 演示</vt:lpstr>
      <vt:lpstr>study excel</vt:lpstr>
      <vt:lpstr>Sheet2</vt:lpstr>
      <vt:lpstr>222</vt:lpstr>
      <vt:lpstr>张三</vt:lpstr>
      <vt:lpstr>李四</vt:lpstr>
      <vt:lpstr>赵六</vt:lpstr>
      <vt:lpstr>Sheet5</vt:lpstr>
      <vt:lpstr>Sheet1</vt:lpstr>
      <vt:lpstr>Sheet3</vt:lpstr>
      <vt:lpstr>Sheet4</vt:lpstr>
      <vt:lpstr>二维码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liuzhiyue</dc:creator>
  <cp:lastModifiedBy>B4</cp:lastModifiedBy>
  <dcterms:created xsi:type="dcterms:W3CDTF">2015-06-05T18:19:34Z</dcterms:created>
  <dcterms:modified xsi:type="dcterms:W3CDTF">2025-03-20T23:46:36Z</dcterms:modified>
</cp:coreProperties>
</file>